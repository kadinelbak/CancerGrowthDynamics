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kiana_tse_ufl_edu/Documents/"/>
    </mc:Choice>
  </mc:AlternateContent>
  <xr:revisionPtr revIDLastSave="289" documentId="8_{C66F3563-D466-49F1-B8C5-153527D2FA2A}" xr6:coauthVersionLast="47" xr6:coauthVersionMax="47" xr10:uidLastSave="{10466C4D-0EA5-4F62-B824-B7BF3F6BD5F5}"/>
  <bookViews>
    <workbookView xWindow="10718" yWindow="0" windowWidth="10965" windowHeight="13763" tabRatio="998" xr2:uid="{755907D6-3219-4970-98C0-7C047931DBE1}"/>
  </bookViews>
  <sheets>
    <sheet name="1 - A2780 20k 1-3" sheetId="1" r:id="rId1"/>
    <sheet name="1 - A2780cis 20k 1-3" sheetId="2" r:id="rId2"/>
    <sheet name="1 - A2780 30k 1-3" sheetId="3" r:id="rId3"/>
    <sheet name="1 - A2780cis 30k 1-3" sheetId="4" r:id="rId4"/>
    <sheet name="1 - A2780 20k 1-1" sheetId="5" r:id="rId5"/>
    <sheet name="1 - A2780cis 20k 1-1" sheetId="6" r:id="rId6"/>
    <sheet name="1 - A2780 30k 1-1" sheetId="7" r:id="rId7"/>
    <sheet name="1 - A2780cis 30k 1-1" sheetId="8" r:id="rId8"/>
    <sheet name="1 - A2780 20k 3-1" sheetId="9" r:id="rId9"/>
    <sheet name="1 - A2780cis 20k 3-1" sheetId="10" r:id="rId10"/>
    <sheet name="1 - A2780 30k 3-1" sheetId="11" r:id="rId11"/>
    <sheet name="1 - A2780cis 30k 3-1" sheetId="12" r:id="rId12"/>
    <sheet name="1 - mono A2780 20k" sheetId="13" r:id="rId13"/>
    <sheet name="1 - mono A2780cis 20k" sheetId="14" r:id="rId14"/>
    <sheet name="1 - mono A2780 30k" sheetId="15" r:id="rId15"/>
    <sheet name="1 - mono A2780cis 30k" sheetId="16" r:id="rId16"/>
    <sheet name="2 - A2780 30k 1-3" sheetId="17" r:id="rId17"/>
    <sheet name="2 - A2780cis 30k 1-3" sheetId="18" r:id="rId18"/>
    <sheet name="2 - A2780 30k 1-1" sheetId="19" r:id="rId19"/>
    <sheet name="2 - A2780cis 30k 1-1" sheetId="20" r:id="rId20"/>
    <sheet name="2 - A2780 30k 3-1" sheetId="21" r:id="rId21"/>
    <sheet name="2 - A2780cis 30k 3-1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0" i="1"/>
  <c r="E14" i="18" l="1"/>
  <c r="E13" i="18"/>
  <c r="E12" i="18"/>
  <c r="E11" i="18"/>
  <c r="E10" i="18"/>
  <c r="E9" i="18"/>
  <c r="E8" i="18"/>
  <c r="E7" i="18"/>
  <c r="E6" i="18"/>
  <c r="E5" i="18"/>
  <c r="E4" i="18"/>
  <c r="E3" i="18"/>
  <c r="E2" i="18"/>
  <c r="E14" i="22"/>
  <c r="E13" i="22"/>
  <c r="E12" i="22"/>
  <c r="E11" i="22"/>
  <c r="E10" i="22"/>
  <c r="E9" i="22"/>
  <c r="E8" i="22"/>
  <c r="E7" i="22"/>
  <c r="E6" i="22"/>
  <c r="E5" i="22"/>
  <c r="E4" i="22"/>
  <c r="E3" i="22"/>
  <c r="E2" i="22"/>
  <c r="E14" i="21"/>
  <c r="E13" i="21"/>
  <c r="E12" i="21"/>
  <c r="E11" i="21"/>
  <c r="E10" i="21"/>
  <c r="E9" i="21"/>
  <c r="E8" i="21"/>
  <c r="E7" i="21"/>
  <c r="E6" i="21"/>
  <c r="E5" i="21"/>
  <c r="E4" i="21"/>
  <c r="E3" i="21"/>
  <c r="E2" i="21"/>
  <c r="E14" i="20"/>
  <c r="E13" i="20"/>
  <c r="E12" i="20"/>
  <c r="E11" i="20"/>
  <c r="E10" i="20"/>
  <c r="E9" i="20"/>
  <c r="E8" i="20"/>
  <c r="E7" i="20"/>
  <c r="E6" i="20"/>
  <c r="E5" i="20"/>
  <c r="E4" i="20"/>
  <c r="E3" i="20"/>
  <c r="E2" i="20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E8" i="15"/>
  <c r="E7" i="15"/>
  <c r="E6" i="15"/>
  <c r="E5" i="15"/>
  <c r="E11" i="15"/>
  <c r="E12" i="15"/>
  <c r="E13" i="15"/>
  <c r="E10" i="15"/>
  <c r="E9" i="15"/>
  <c r="E13" i="16"/>
  <c r="E12" i="16"/>
  <c r="E11" i="16"/>
  <c r="E10" i="16"/>
  <c r="E9" i="16"/>
  <c r="E8" i="16"/>
  <c r="E7" i="16"/>
  <c r="E6" i="16"/>
  <c r="E5" i="16"/>
  <c r="E4" i="16"/>
  <c r="E3" i="16"/>
  <c r="E2" i="16"/>
  <c r="E16" i="15"/>
  <c r="E15" i="15"/>
  <c r="E14" i="15"/>
  <c r="E4" i="15"/>
  <c r="E3" i="15"/>
  <c r="E2" i="15"/>
  <c r="E13" i="14"/>
  <c r="E12" i="14"/>
  <c r="E11" i="14"/>
  <c r="E10" i="14"/>
  <c r="E9" i="14"/>
  <c r="E8" i="14"/>
  <c r="E7" i="14"/>
  <c r="E6" i="14"/>
  <c r="E5" i="14"/>
  <c r="E4" i="14"/>
  <c r="E3" i="14"/>
  <c r="E2" i="14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2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2" i="1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2" i="10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2" i="8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2" i="5"/>
  <c r="E2" i="4"/>
  <c r="E13" i="4" l="1"/>
  <c r="E3" i="3"/>
  <c r="E4" i="3"/>
  <c r="E5" i="3"/>
  <c r="E6" i="3"/>
  <c r="E7" i="3"/>
  <c r="E8" i="3"/>
  <c r="E9" i="3"/>
  <c r="E10" i="3"/>
  <c r="E11" i="3"/>
  <c r="E12" i="3"/>
  <c r="E13" i="3"/>
  <c r="E15" i="3"/>
  <c r="E16" i="3"/>
  <c r="E2" i="3"/>
  <c r="E3" i="2"/>
  <c r="E4" i="2"/>
  <c r="E5" i="2"/>
  <c r="E6" i="2"/>
  <c r="E7" i="2"/>
  <c r="E8" i="2"/>
  <c r="E9" i="2"/>
  <c r="E10" i="2"/>
  <c r="E11" i="2"/>
  <c r="E12" i="2"/>
  <c r="E13" i="2"/>
  <c r="E15" i="2"/>
  <c r="E16" i="2"/>
  <c r="E2" i="2"/>
  <c r="E2" i="1"/>
  <c r="E16" i="4"/>
  <c r="E15" i="4"/>
  <c r="E12" i="4"/>
  <c r="E11" i="4"/>
  <c r="E10" i="4"/>
  <c r="E9" i="4"/>
  <c r="E8" i="4"/>
  <c r="E7" i="4"/>
  <c r="E6" i="4"/>
  <c r="E5" i="4"/>
  <c r="E4" i="4"/>
  <c r="E3" i="4"/>
  <c r="E11" i="1"/>
  <c r="E12" i="1"/>
  <c r="E4" i="1"/>
  <c r="E5" i="1"/>
  <c r="E6" i="1"/>
  <c r="E7" i="1"/>
  <c r="E8" i="1"/>
  <c r="E9" i="1"/>
  <c r="E10" i="1"/>
  <c r="E13" i="1"/>
  <c r="E15" i="1"/>
  <c r="E16" i="1"/>
</calcChain>
</file>

<file path=xl/sharedStrings.xml><?xml version="1.0" encoding="utf-8"?>
<sst xmlns="http://schemas.openxmlformats.org/spreadsheetml/2006/main" count="110" uniqueCount="5">
  <si>
    <t>Day</t>
  </si>
  <si>
    <t>N Samples</t>
  </si>
  <si>
    <t>Mean Cells</t>
  </si>
  <si>
    <t>SD Cells</t>
  </si>
  <si>
    <t>SEM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</si>
</sst>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45DB-DCF8-43BC-8C45-7145F7DC26AC}">
  <dimension ref="A1:G34"/>
  <sheetViews>
    <sheetView tabSelected="1" topLeftCell="A4" workbookViewId="0">
      <selection sqref="A1:G34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16.645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355.25484303333332</v>
      </c>
      <c r="D3">
        <v>319.70519959159355</v>
      </c>
      <c r="E3">
        <f>D3/SQRT(3)</f>
        <v>184.58188304552959</v>
      </c>
    </row>
    <row r="4" spans="1:5" x14ac:dyDescent="0.45">
      <c r="A4">
        <v>2</v>
      </c>
      <c r="B4">
        <v>3</v>
      </c>
      <c r="C4">
        <v>243.07517813333334</v>
      </c>
      <c r="D4">
        <v>66.655860709514684</v>
      </c>
      <c r="E4">
        <f t="shared" ref="E3:E16" si="0">D4/SQRT(3)</f>
        <v>38.483779123704501</v>
      </c>
    </row>
    <row r="5" spans="1:5" x14ac:dyDescent="0.45">
      <c r="A5">
        <v>3</v>
      </c>
      <c r="B5">
        <v>3</v>
      </c>
      <c r="C5">
        <v>519.14839206666659</v>
      </c>
      <c r="D5">
        <v>130.81275068841748</v>
      </c>
      <c r="E5">
        <f t="shared" si="0"/>
        <v>75.524776823393239</v>
      </c>
    </row>
    <row r="6" spans="1:5" x14ac:dyDescent="0.45">
      <c r="A6">
        <v>4</v>
      </c>
      <c r="B6">
        <v>3</v>
      </c>
      <c r="C6">
        <v>646.79999996666663</v>
      </c>
      <c r="D6">
        <v>84.333734762884774</v>
      </c>
      <c r="E6">
        <f t="shared" si="0"/>
        <v>48.690104467118026</v>
      </c>
    </row>
    <row r="7" spans="1:5" x14ac:dyDescent="0.45">
      <c r="A7">
        <v>5</v>
      </c>
      <c r="B7">
        <v>3</v>
      </c>
      <c r="C7">
        <v>2267.1919893333334</v>
      </c>
      <c r="D7">
        <v>778.52085164710536</v>
      </c>
      <c r="E7">
        <f t="shared" si="0"/>
        <v>449.47922326819304</v>
      </c>
    </row>
    <row r="8" spans="1:5" x14ac:dyDescent="0.45">
      <c r="A8">
        <v>6</v>
      </c>
      <c r="B8">
        <v>3</v>
      </c>
      <c r="C8">
        <v>877.56125559999998</v>
      </c>
      <c r="D8">
        <v>279.93927993190408</v>
      </c>
      <c r="E8">
        <f t="shared" si="0"/>
        <v>161.62301862543484</v>
      </c>
    </row>
    <row r="9" spans="1:5" x14ac:dyDescent="0.45">
      <c r="A9">
        <v>7</v>
      </c>
      <c r="B9">
        <v>3</v>
      </c>
      <c r="C9">
        <v>1038.4631233666667</v>
      </c>
      <c r="D9">
        <v>468.50167090245174</v>
      </c>
      <c r="E9">
        <f t="shared" si="0"/>
        <v>270.48956581132001</v>
      </c>
    </row>
    <row r="10" spans="1:5" x14ac:dyDescent="0.45">
      <c r="A10">
        <v>8</v>
      </c>
      <c r="B10">
        <v>3</v>
      </c>
      <c r="C10">
        <v>156.82704796666667</v>
      </c>
      <c r="D10">
        <v>50.659798717597205</v>
      </c>
      <c r="E10">
        <f t="shared" si="0"/>
        <v>29.248448426697006</v>
      </c>
    </row>
    <row r="11" spans="1:5" x14ac:dyDescent="0.45">
      <c r="A11">
        <v>9</v>
      </c>
      <c r="B11">
        <v>3</v>
      </c>
      <c r="C11">
        <v>246.32427726666666</v>
      </c>
      <c r="D11">
        <v>135.90103324092803</v>
      </c>
      <c r="E11">
        <f>D11/SQRT(3)</f>
        <v>78.462498124798088</v>
      </c>
    </row>
    <row r="12" spans="1:5" x14ac:dyDescent="0.45">
      <c r="A12">
        <v>10</v>
      </c>
      <c r="B12">
        <v>3</v>
      </c>
      <c r="C12">
        <v>2108.786333333333</v>
      </c>
      <c r="D12">
        <v>771.07050166916201</v>
      </c>
      <c r="E12">
        <f>D12/SQRT(3)</f>
        <v>445.1777617028705</v>
      </c>
    </row>
    <row r="13" spans="1:5" x14ac:dyDescent="0.45">
      <c r="A13">
        <v>11</v>
      </c>
      <c r="B13">
        <v>3</v>
      </c>
      <c r="C13">
        <v>2092.9223333333334</v>
      </c>
      <c r="D13">
        <v>1082.5990997522274</v>
      </c>
      <c r="E13">
        <f t="shared" si="0"/>
        <v>625.03888166639501</v>
      </c>
    </row>
    <row r="14" spans="1:5" x14ac:dyDescent="0.45">
      <c r="A14">
        <v>12</v>
      </c>
    </row>
    <row r="15" spans="1:5" x14ac:dyDescent="0.45">
      <c r="A15">
        <v>13</v>
      </c>
      <c r="B15">
        <v>3</v>
      </c>
      <c r="C15">
        <v>597.74516156364325</v>
      </c>
      <c r="D15">
        <v>199.53426244392867</v>
      </c>
      <c r="E15">
        <f t="shared" si="0"/>
        <v>115.20116013455566</v>
      </c>
    </row>
    <row r="16" spans="1:5" x14ac:dyDescent="0.45">
      <c r="A16">
        <v>14</v>
      </c>
      <c r="B16">
        <v>3</v>
      </c>
      <c r="C16">
        <v>2321.6046216060081</v>
      </c>
      <c r="D16">
        <v>1058.073904694038</v>
      </c>
      <c r="E16">
        <f t="shared" si="0"/>
        <v>610.87925369762127</v>
      </c>
    </row>
    <row r="20" spans="2:7" x14ac:dyDescent="0.45">
      <c r="B20" s="1">
        <v>16.645</v>
      </c>
      <c r="C20" s="1">
        <v>16.645</v>
      </c>
      <c r="D20" s="1">
        <v>16.645</v>
      </c>
      <c r="F20">
        <f>AVERAGE(B20:D20)</f>
        <v>16.645</v>
      </c>
      <c r="G20">
        <f>_xlfn.STDEV.S(B20:D20)</f>
        <v>0</v>
      </c>
    </row>
    <row r="21" spans="2:7" x14ac:dyDescent="0.45">
      <c r="B21" s="1">
        <v>150.44690929999999</v>
      </c>
      <c r="C21" s="1">
        <v>191.66689769999999</v>
      </c>
      <c r="D21" s="1">
        <v>723.65072210000005</v>
      </c>
      <c r="F21">
        <f t="shared" ref="F21:F34" si="1">AVERAGE(B21:D21)</f>
        <v>355.25484303333332</v>
      </c>
      <c r="G21">
        <f t="shared" ref="G21:G34" si="2">_xlfn.STDEV.S(B21:D21)</f>
        <v>319.70519959159355</v>
      </c>
    </row>
    <row r="22" spans="2:7" x14ac:dyDescent="0.45">
      <c r="B22" s="1">
        <v>204.22888499999999</v>
      </c>
      <c r="C22" s="1">
        <v>320.04159449999997</v>
      </c>
      <c r="D22" s="1">
        <v>204.95505489999999</v>
      </c>
      <c r="F22">
        <f t="shared" si="1"/>
        <v>243.07517813333334</v>
      </c>
      <c r="G22">
        <f t="shared" si="2"/>
        <v>66.655860709514684</v>
      </c>
    </row>
    <row r="23" spans="2:7" x14ac:dyDescent="0.45">
      <c r="B23" s="1">
        <v>394.66759100000002</v>
      </c>
      <c r="C23" s="1">
        <v>655.48584630000005</v>
      </c>
      <c r="D23" s="1">
        <v>507.29173889999998</v>
      </c>
      <c r="F23">
        <f t="shared" si="1"/>
        <v>519.14839206666659</v>
      </c>
      <c r="G23">
        <f t="shared" si="2"/>
        <v>130.81275068841748</v>
      </c>
    </row>
    <row r="24" spans="2:7" x14ac:dyDescent="0.45">
      <c r="B24" s="1">
        <v>557.60531479999997</v>
      </c>
      <c r="C24" s="1">
        <v>725.2412478</v>
      </c>
      <c r="D24" s="1">
        <v>657.55343730000004</v>
      </c>
      <c r="F24">
        <f t="shared" si="1"/>
        <v>646.79999996666663</v>
      </c>
      <c r="G24">
        <f t="shared" si="2"/>
        <v>84.333734762884774</v>
      </c>
    </row>
    <row r="25" spans="2:7" x14ac:dyDescent="0.45">
      <c r="B25" s="1">
        <v>1378.850144</v>
      </c>
      <c r="C25" s="1">
        <v>2830.657886</v>
      </c>
      <c r="D25" s="1">
        <v>2592.0679380000001</v>
      </c>
      <c r="F25">
        <f t="shared" si="1"/>
        <v>2267.1919893333334</v>
      </c>
      <c r="G25">
        <f t="shared" si="2"/>
        <v>778.52085164710536</v>
      </c>
    </row>
    <row r="26" spans="2:7" x14ac:dyDescent="0.45">
      <c r="B26" s="1">
        <v>566.41559789999997</v>
      </c>
      <c r="C26" s="1">
        <v>1109.010861</v>
      </c>
      <c r="D26" s="1">
        <v>957.2573079</v>
      </c>
      <c r="F26">
        <f t="shared" si="1"/>
        <v>877.56125559999998</v>
      </c>
      <c r="G26">
        <f t="shared" si="2"/>
        <v>279.93927993190408</v>
      </c>
    </row>
    <row r="27" spans="2:7" x14ac:dyDescent="0.45">
      <c r="B27" s="1">
        <v>536.97007510000003</v>
      </c>
      <c r="C27" s="1">
        <v>1464.9149620000001</v>
      </c>
      <c r="D27" s="1">
        <v>1113.5043330000001</v>
      </c>
      <c r="F27">
        <f t="shared" si="1"/>
        <v>1038.4631233666667</v>
      </c>
      <c r="G27">
        <f t="shared" si="2"/>
        <v>468.50167090245174</v>
      </c>
    </row>
    <row r="28" spans="2:7" x14ac:dyDescent="0.45">
      <c r="B28" s="1">
        <v>104.60812249999999</v>
      </c>
      <c r="C28" s="1">
        <v>205.7685731</v>
      </c>
      <c r="D28" s="1">
        <v>160.1044483</v>
      </c>
      <c r="F28">
        <f t="shared" si="1"/>
        <v>156.82704796666667</v>
      </c>
      <c r="G28">
        <f t="shared" si="2"/>
        <v>50.659798717597205</v>
      </c>
    </row>
    <row r="29" spans="2:7" x14ac:dyDescent="0.45">
      <c r="B29" s="1">
        <v>116.04781730000001</v>
      </c>
      <c r="C29" s="1">
        <v>387.22611210000002</v>
      </c>
      <c r="D29" s="1">
        <v>235.69890240000001</v>
      </c>
      <c r="F29">
        <f t="shared" si="1"/>
        <v>246.32427726666666</v>
      </c>
      <c r="G29">
        <f t="shared" si="2"/>
        <v>135.90103324092803</v>
      </c>
    </row>
    <row r="30" spans="2:7" x14ac:dyDescent="0.45">
      <c r="B30" s="1">
        <v>1310.3440000000001</v>
      </c>
      <c r="C30" s="1">
        <v>2849.2069999999999</v>
      </c>
      <c r="D30" s="1">
        <v>2166.808</v>
      </c>
      <c r="F30">
        <f t="shared" si="1"/>
        <v>2108.786333333333</v>
      </c>
      <c r="G30">
        <f t="shared" si="2"/>
        <v>771.07050166916201</v>
      </c>
    </row>
    <row r="31" spans="2:7" x14ac:dyDescent="0.45">
      <c r="B31" s="1">
        <v>1028.4880000000001</v>
      </c>
      <c r="C31" s="1">
        <v>3192.8150000000001</v>
      </c>
      <c r="D31" s="1">
        <v>2057.4639999999999</v>
      </c>
      <c r="F31">
        <f t="shared" si="1"/>
        <v>2092.9223333333334</v>
      </c>
      <c r="G31">
        <f t="shared" si="2"/>
        <v>1082.5990997522274</v>
      </c>
    </row>
    <row r="32" spans="2:7" x14ac:dyDescent="0.45">
      <c r="B32" s="1"/>
      <c r="C32" s="1"/>
      <c r="D32" s="1"/>
      <c r="F32" t="e">
        <f t="shared" si="1"/>
        <v>#DIV/0!</v>
      </c>
      <c r="G32" t="e">
        <f t="shared" si="2"/>
        <v>#DIV/0!</v>
      </c>
    </row>
    <row r="33" spans="2:7" x14ac:dyDescent="0.45">
      <c r="B33" s="1">
        <v>412.10296013864797</v>
      </c>
      <c r="C33" s="1">
        <v>808.74685153090695</v>
      </c>
      <c r="D33" s="1">
        <v>572.38567302137483</v>
      </c>
      <c r="F33">
        <f t="shared" si="1"/>
        <v>597.74516156364325</v>
      </c>
      <c r="G33">
        <f t="shared" si="2"/>
        <v>199.53426244392867</v>
      </c>
    </row>
    <row r="34" spans="2:7" x14ac:dyDescent="0.45">
      <c r="B34" s="1">
        <v>3524.3247833622186</v>
      </c>
      <c r="C34" s="1">
        <v>1906.3051415366838</v>
      </c>
      <c r="D34" s="1">
        <v>1534.1839399191219</v>
      </c>
      <c r="F34">
        <f t="shared" si="1"/>
        <v>2321.6046216060081</v>
      </c>
      <c r="G34">
        <f t="shared" si="2"/>
        <v>1058.073904694038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0942-DD6A-4087-A1A2-070D15CBD258}">
  <dimension ref="A1:E16"/>
  <sheetViews>
    <sheetView workbookViewId="0">
      <selection activeCell="B14" sqref="B14:E14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49.935000000000002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387.90960908915849</v>
      </c>
      <c r="D3">
        <v>133.38577747615074</v>
      </c>
      <c r="E3">
        <f>D3/SQRT(3)</f>
        <v>77.010314531923157</v>
      </c>
    </row>
    <row r="4" spans="1:5" x14ac:dyDescent="0.45">
      <c r="A4">
        <v>2</v>
      </c>
      <c r="B4">
        <v>3</v>
      </c>
      <c r="C4">
        <v>439.19869978817633</v>
      </c>
      <c r="D4">
        <v>96.116416071258939</v>
      </c>
      <c r="E4">
        <f t="shared" ref="E4:E16" si="0">D4/SQRT(3)</f>
        <v>55.492838692283421</v>
      </c>
    </row>
    <row r="5" spans="1:5" x14ac:dyDescent="0.45">
      <c r="A5">
        <v>3</v>
      </c>
      <c r="B5">
        <v>3</v>
      </c>
      <c r="C5">
        <v>521.18835740419797</v>
      </c>
      <c r="D5">
        <v>194.15853560484808</v>
      </c>
      <c r="E5">
        <f t="shared" si="0"/>
        <v>112.09748279692259</v>
      </c>
    </row>
    <row r="6" spans="1:5" x14ac:dyDescent="0.45">
      <c r="A6">
        <v>4</v>
      </c>
      <c r="B6">
        <v>3</v>
      </c>
      <c r="C6">
        <v>362.1803104178702</v>
      </c>
      <c r="D6">
        <v>65.424723007475379</v>
      </c>
      <c r="E6">
        <f t="shared" si="0"/>
        <v>37.772981440022612</v>
      </c>
    </row>
    <row r="7" spans="1:5" x14ac:dyDescent="0.45">
      <c r="A7">
        <v>5</v>
      </c>
      <c r="B7">
        <v>3</v>
      </c>
      <c r="C7">
        <v>143.1933125361063</v>
      </c>
      <c r="D7">
        <v>41.635942543159679</v>
      </c>
      <c r="E7">
        <f t="shared" si="0"/>
        <v>24.038522635257035</v>
      </c>
    </row>
    <row r="8" spans="1:5" x14ac:dyDescent="0.45">
      <c r="A8">
        <v>6</v>
      </c>
      <c r="B8">
        <v>3</v>
      </c>
      <c r="C8">
        <v>93.330167533217789</v>
      </c>
      <c r="D8">
        <v>27.854832125625439</v>
      </c>
      <c r="E8">
        <f t="shared" si="0"/>
        <v>16.081994825961683</v>
      </c>
    </row>
    <row r="9" spans="1:5" x14ac:dyDescent="0.45">
      <c r="A9">
        <v>7</v>
      </c>
      <c r="B9">
        <v>3</v>
      </c>
      <c r="C9">
        <v>64.264491430772196</v>
      </c>
      <c r="D9">
        <v>25.286609680148075</v>
      </c>
      <c r="E9">
        <f t="shared" si="0"/>
        <v>14.599230905726488</v>
      </c>
    </row>
    <row r="10" spans="1:5" x14ac:dyDescent="0.45">
      <c r="A10">
        <v>8</v>
      </c>
      <c r="B10">
        <v>3</v>
      </c>
      <c r="C10">
        <v>45.770059695744273</v>
      </c>
      <c r="D10">
        <v>12.878873173790517</v>
      </c>
      <c r="E10">
        <f t="shared" si="0"/>
        <v>7.4356208937470054</v>
      </c>
    </row>
    <row r="11" spans="1:5" x14ac:dyDescent="0.45">
      <c r="A11">
        <v>9</v>
      </c>
      <c r="B11">
        <v>3</v>
      </c>
      <c r="C11">
        <v>33.487420404390527</v>
      </c>
      <c r="D11">
        <v>9.2855879070775487</v>
      </c>
      <c r="E11">
        <f t="shared" si="0"/>
        <v>5.3610366777351564</v>
      </c>
    </row>
    <row r="12" spans="1:5" x14ac:dyDescent="0.45">
      <c r="A12">
        <v>10</v>
      </c>
      <c r="B12">
        <v>3</v>
      </c>
      <c r="C12">
        <v>36.790562642018102</v>
      </c>
      <c r="D12">
        <v>13.193630076972765</v>
      </c>
      <c r="E12">
        <f t="shared" si="0"/>
        <v>7.6173458765285691</v>
      </c>
    </row>
    <row r="13" spans="1:5" x14ac:dyDescent="0.45">
      <c r="A13">
        <v>11</v>
      </c>
      <c r="B13">
        <v>3</v>
      </c>
      <c r="C13">
        <v>34.565719653379553</v>
      </c>
      <c r="D13">
        <v>23.18015677090359</v>
      </c>
      <c r="E13">
        <f t="shared" si="0"/>
        <v>13.383069751538915</v>
      </c>
    </row>
    <row r="14" spans="1:5" x14ac:dyDescent="0.45">
      <c r="A14">
        <v>12</v>
      </c>
    </row>
    <row r="15" spans="1:5" x14ac:dyDescent="0.45">
      <c r="A15">
        <v>13</v>
      </c>
      <c r="B15">
        <v>3</v>
      </c>
      <c r="C15">
        <v>16.697786558829193</v>
      </c>
      <c r="D15">
        <v>5.7800408480734937</v>
      </c>
      <c r="E15">
        <f t="shared" si="0"/>
        <v>3.3371081395622646</v>
      </c>
    </row>
    <row r="16" spans="1:5" x14ac:dyDescent="0.45">
      <c r="A16">
        <v>14</v>
      </c>
      <c r="B16">
        <v>3</v>
      </c>
      <c r="C16">
        <v>14.710266088965916</v>
      </c>
      <c r="D16">
        <v>6.1848892293599915</v>
      </c>
      <c r="E16">
        <f t="shared" si="0"/>
        <v>3.5708474614790084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1F0F-5AB3-4643-9010-3D04D898F18A}">
  <dimension ref="A1:E16"/>
  <sheetViews>
    <sheetView workbookViewId="0">
      <selection activeCell="E23" sqref="E23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24.95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304.26655110000002</v>
      </c>
      <c r="D3">
        <v>81.426916601430847</v>
      </c>
      <c r="E3">
        <f t="shared" ref="E3:E16" si="0">D3/SQRT(3)</f>
        <v>47.011852219117308</v>
      </c>
    </row>
    <row r="4" spans="1:5" x14ac:dyDescent="0.45">
      <c r="A4">
        <v>2</v>
      </c>
      <c r="B4">
        <v>3</v>
      </c>
      <c r="C4">
        <v>461.53645293333335</v>
      </c>
      <c r="D4">
        <v>238.54705853686079</v>
      </c>
      <c r="E4">
        <f t="shared" si="0"/>
        <v>137.72520846065001</v>
      </c>
    </row>
    <row r="5" spans="1:5" x14ac:dyDescent="0.45">
      <c r="A5">
        <v>3</v>
      </c>
      <c r="B5">
        <v>3</v>
      </c>
      <c r="C5">
        <v>869.8122856</v>
      </c>
      <c r="D5">
        <v>353.77614558781113</v>
      </c>
      <c r="E5">
        <f t="shared" si="0"/>
        <v>204.25275288799099</v>
      </c>
    </row>
    <row r="6" spans="1:5" x14ac:dyDescent="0.45">
      <c r="A6">
        <v>4</v>
      </c>
      <c r="B6">
        <v>3</v>
      </c>
      <c r="C6">
        <v>1207.0729445666668</v>
      </c>
      <c r="D6">
        <v>368.55843239988741</v>
      </c>
      <c r="E6">
        <f t="shared" si="0"/>
        <v>212.7873101581815</v>
      </c>
    </row>
    <row r="7" spans="1:5" x14ac:dyDescent="0.45">
      <c r="A7">
        <v>5</v>
      </c>
      <c r="B7">
        <v>3</v>
      </c>
      <c r="C7">
        <v>3280.5151166666669</v>
      </c>
      <c r="D7">
        <v>203.74399169205677</v>
      </c>
      <c r="E7">
        <f t="shared" si="0"/>
        <v>117.63164844917786</v>
      </c>
    </row>
    <row r="8" spans="1:5" x14ac:dyDescent="0.45">
      <c r="A8">
        <v>6</v>
      </c>
      <c r="B8">
        <v>3</v>
      </c>
      <c r="C8">
        <v>1749.207549</v>
      </c>
      <c r="D8">
        <v>311.88669057511612</v>
      </c>
      <c r="E8">
        <f t="shared" si="0"/>
        <v>180.06786476020483</v>
      </c>
    </row>
    <row r="9" spans="1:5" x14ac:dyDescent="0.45">
      <c r="A9">
        <v>7</v>
      </c>
      <c r="B9">
        <v>3</v>
      </c>
      <c r="C9">
        <v>2042.3465816666667</v>
      </c>
      <c r="D9">
        <v>197.3535067658369</v>
      </c>
      <c r="E9">
        <f t="shared" si="0"/>
        <v>113.94210025677256</v>
      </c>
    </row>
    <row r="10" spans="1:5" x14ac:dyDescent="0.45">
      <c r="A10">
        <v>8</v>
      </c>
      <c r="B10">
        <v>3</v>
      </c>
      <c r="C10">
        <v>296.49023685999998</v>
      </c>
      <c r="D10">
        <v>196.10555620513759</v>
      </c>
      <c r="E10">
        <f t="shared" si="0"/>
        <v>113.22159566461748</v>
      </c>
    </row>
    <row r="11" spans="1:5" x14ac:dyDescent="0.45">
      <c r="A11">
        <v>9</v>
      </c>
      <c r="B11">
        <v>3</v>
      </c>
      <c r="C11">
        <v>583.65126133333331</v>
      </c>
      <c r="D11">
        <v>289.99692951957951</v>
      </c>
      <c r="E11">
        <f t="shared" si="0"/>
        <v>167.42980532229416</v>
      </c>
    </row>
    <row r="12" spans="1:5" x14ac:dyDescent="0.45">
      <c r="A12">
        <v>10</v>
      </c>
      <c r="B12">
        <v>3</v>
      </c>
      <c r="C12">
        <v>3520.6346666666664</v>
      </c>
      <c r="D12">
        <v>770.24754396644369</v>
      </c>
      <c r="E12">
        <f t="shared" si="0"/>
        <v>444.70262685167438</v>
      </c>
    </row>
    <row r="13" spans="1:5" x14ac:dyDescent="0.45">
      <c r="A13">
        <v>11</v>
      </c>
      <c r="B13">
        <v>3</v>
      </c>
      <c r="C13">
        <v>3932.3089999999997</v>
      </c>
      <c r="D13">
        <v>269.21460885137719</v>
      </c>
      <c r="E13">
        <f t="shared" si="0"/>
        <v>155.43112689012244</v>
      </c>
    </row>
    <row r="14" spans="1:5" x14ac:dyDescent="0.45">
      <c r="A14">
        <v>12</v>
      </c>
    </row>
    <row r="15" spans="1:5" x14ac:dyDescent="0.45">
      <c r="A15">
        <v>13</v>
      </c>
      <c r="B15">
        <v>3</v>
      </c>
      <c r="C15">
        <v>776.10883882149039</v>
      </c>
      <c r="D15">
        <v>454.09597858533397</v>
      </c>
      <c r="E15">
        <f t="shared" si="0"/>
        <v>262.17243547416911</v>
      </c>
    </row>
    <row r="16" spans="1:5" x14ac:dyDescent="0.45">
      <c r="A16">
        <v>14</v>
      </c>
      <c r="B16">
        <v>3</v>
      </c>
      <c r="C16">
        <v>3171.0646331600233</v>
      </c>
      <c r="D16">
        <v>338.91318531930978</v>
      </c>
      <c r="E16">
        <f t="shared" si="0"/>
        <v>195.67161877601703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C926-E115-4CBF-ACA4-4C9B3BE94F47}">
  <dimension ref="A1:E16"/>
  <sheetViews>
    <sheetView workbookViewId="0">
      <selection activeCell="E2" sqref="E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74.849999999999994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461.44020797227034</v>
      </c>
      <c r="D3">
        <v>76.668820051735352</v>
      </c>
      <c r="E3">
        <f t="shared" ref="E3:E16" si="0">D3/SQRT(3)</f>
        <v>44.264763895320385</v>
      </c>
    </row>
    <row r="4" spans="1:5" x14ac:dyDescent="0.45">
      <c r="A4">
        <v>2</v>
      </c>
      <c r="B4">
        <v>3</v>
      </c>
      <c r="C4">
        <v>601.6166570383208</v>
      </c>
      <c r="D4">
        <v>150.98440585257276</v>
      </c>
      <c r="E4">
        <f t="shared" si="0"/>
        <v>87.170887362418597</v>
      </c>
    </row>
    <row r="5" spans="1:5" x14ac:dyDescent="0.45">
      <c r="A5">
        <v>3</v>
      </c>
      <c r="B5">
        <v>3</v>
      </c>
      <c r="C5">
        <v>760.53726169844015</v>
      </c>
      <c r="D5">
        <v>216.23744224986888</v>
      </c>
      <c r="E5">
        <f t="shared" si="0"/>
        <v>124.84474549183795</v>
      </c>
    </row>
    <row r="6" spans="1:5" x14ac:dyDescent="0.45">
      <c r="A6">
        <v>4</v>
      </c>
      <c r="B6">
        <v>3</v>
      </c>
      <c r="C6">
        <v>394.38254573464275</v>
      </c>
      <c r="D6">
        <v>87.513402388213606</v>
      </c>
      <c r="E6">
        <f t="shared" si="0"/>
        <v>50.525886426535166</v>
      </c>
    </row>
    <row r="7" spans="1:5" x14ac:dyDescent="0.45">
      <c r="A7">
        <v>5</v>
      </c>
      <c r="B7">
        <v>3</v>
      </c>
      <c r="C7">
        <v>199.12416714808396</v>
      </c>
      <c r="D7">
        <v>59.805625476296292</v>
      </c>
      <c r="E7">
        <f t="shared" si="0"/>
        <v>34.528793967793604</v>
      </c>
    </row>
    <row r="8" spans="1:5" x14ac:dyDescent="0.45">
      <c r="A8">
        <v>6</v>
      </c>
      <c r="B8">
        <v>3</v>
      </c>
      <c r="C8">
        <v>86.623562487964548</v>
      </c>
      <c r="D8">
        <v>15.594688136533698</v>
      </c>
      <c r="E8">
        <f t="shared" si="0"/>
        <v>9.0035973935559941</v>
      </c>
    </row>
    <row r="9" spans="1:5" x14ac:dyDescent="0.45">
      <c r="A9">
        <v>7</v>
      </c>
      <c r="B9">
        <v>3</v>
      </c>
      <c r="C9">
        <v>79.602372424417482</v>
      </c>
      <c r="D9">
        <v>19.158642458856594</v>
      </c>
      <c r="E9">
        <f t="shared" si="0"/>
        <v>11.061247380928648</v>
      </c>
    </row>
    <row r="10" spans="1:5" x14ac:dyDescent="0.45">
      <c r="A10">
        <v>8</v>
      </c>
      <c r="B10">
        <v>3</v>
      </c>
      <c r="C10">
        <v>109.12184093972654</v>
      </c>
      <c r="D10">
        <v>60.860861165199211</v>
      </c>
      <c r="E10">
        <f t="shared" si="0"/>
        <v>35.138034576840205</v>
      </c>
    </row>
    <row r="11" spans="1:5" x14ac:dyDescent="0.45">
      <c r="A11">
        <v>9</v>
      </c>
      <c r="B11">
        <v>3</v>
      </c>
      <c r="C11">
        <v>48.202888503755055</v>
      </c>
      <c r="D11">
        <v>17.865019397161081</v>
      </c>
      <c r="E11">
        <f>D11/SQRT(3)</f>
        <v>10.314373758028836</v>
      </c>
    </row>
    <row r="12" spans="1:5" x14ac:dyDescent="0.45">
      <c r="A12">
        <v>10</v>
      </c>
      <c r="B12">
        <v>3</v>
      </c>
      <c r="C12">
        <v>38.002888503755052</v>
      </c>
      <c r="D12">
        <v>4.1980534040998938</v>
      </c>
      <c r="E12">
        <f>D12/SQRT(3)</f>
        <v>2.4237472629294987</v>
      </c>
    </row>
    <row r="13" spans="1:5" x14ac:dyDescent="0.45">
      <c r="A13">
        <v>11</v>
      </c>
      <c r="B13">
        <v>3</v>
      </c>
      <c r="C13">
        <v>34.252259580204118</v>
      </c>
      <c r="D13">
        <v>5.9853670245834074</v>
      </c>
      <c r="E13">
        <f>D13/SQRT(3)</f>
        <v>3.4556532628419401</v>
      </c>
    </row>
    <row r="14" spans="1:5" x14ac:dyDescent="0.45">
      <c r="A14">
        <v>12</v>
      </c>
      <c r="B14">
        <v>3</v>
      </c>
      <c r="C14" t="e">
        <v>#DIV/0!</v>
      </c>
    </row>
    <row r="15" spans="1:5" x14ac:dyDescent="0.45">
      <c r="A15">
        <v>13</v>
      </c>
      <c r="B15">
        <v>3</v>
      </c>
      <c r="C15">
        <v>13.358395108800309</v>
      </c>
      <c r="D15">
        <v>9.6173788153063988</v>
      </c>
      <c r="E15">
        <f t="shared" si="0"/>
        <v>5.552596247915754</v>
      </c>
    </row>
    <row r="16" spans="1:5" x14ac:dyDescent="0.45">
      <c r="A16">
        <v>14</v>
      </c>
      <c r="B16">
        <v>3</v>
      </c>
      <c r="C16">
        <v>13.518851530906991</v>
      </c>
      <c r="D16">
        <v>9.2122997362774797</v>
      </c>
      <c r="E16">
        <f t="shared" si="0"/>
        <v>5.3187237325953216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15C9-ECCB-466E-B179-3914C64AFB76}">
  <dimension ref="A1:E16"/>
  <sheetViews>
    <sheetView workbookViewId="0">
      <selection activeCell="E2" sqref="E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 s="1">
        <v>33.29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 s="1">
        <v>546.03489309999998</v>
      </c>
      <c r="D3">
        <v>135.93004071426907</v>
      </c>
      <c r="E3">
        <f t="shared" ref="E3:E16" si="0">D3/SQRT(3)</f>
        <v>78.479245597340039</v>
      </c>
    </row>
    <row r="4" spans="1:5" x14ac:dyDescent="0.45">
      <c r="A4">
        <v>2</v>
      </c>
      <c r="B4">
        <v>3</v>
      </c>
      <c r="C4" s="1">
        <v>603.44113230000005</v>
      </c>
      <c r="D4">
        <v>218.57106807960545</v>
      </c>
      <c r="E4">
        <f t="shared" si="0"/>
        <v>126.19206499282423</v>
      </c>
    </row>
    <row r="5" spans="1:5" x14ac:dyDescent="0.45">
      <c r="A5">
        <v>3</v>
      </c>
      <c r="B5">
        <v>3</v>
      </c>
      <c r="C5" s="1">
        <v>1158.9699211666666</v>
      </c>
      <c r="D5">
        <v>481.11109107765191</v>
      </c>
      <c r="E5">
        <f t="shared" si="0"/>
        <v>277.7696179437969</v>
      </c>
    </row>
    <row r="6" spans="1:5" x14ac:dyDescent="0.45">
      <c r="A6">
        <v>4</v>
      </c>
      <c r="B6">
        <v>3</v>
      </c>
      <c r="C6" s="1">
        <v>1330.0561912000001</v>
      </c>
      <c r="D6">
        <v>469.48901295500417</v>
      </c>
      <c r="E6">
        <f t="shared" si="0"/>
        <v>271.05960801114338</v>
      </c>
    </row>
    <row r="7" spans="1:5" x14ac:dyDescent="0.45">
      <c r="A7">
        <v>5</v>
      </c>
      <c r="B7">
        <v>3</v>
      </c>
      <c r="C7" s="1">
        <v>1788.969844</v>
      </c>
      <c r="D7">
        <v>605.78950917427369</v>
      </c>
      <c r="E7">
        <f t="shared" si="0"/>
        <v>349.75273619401821</v>
      </c>
    </row>
    <row r="8" spans="1:5" x14ac:dyDescent="0.45">
      <c r="A8">
        <v>6</v>
      </c>
      <c r="B8">
        <v>3</v>
      </c>
      <c r="C8" s="1">
        <v>2031.948654</v>
      </c>
      <c r="D8">
        <v>684.79816850313989</v>
      </c>
      <c r="E8">
        <f t="shared" si="0"/>
        <v>395.36840692585054</v>
      </c>
    </row>
    <row r="9" spans="1:5" x14ac:dyDescent="0.45">
      <c r="A9">
        <v>7</v>
      </c>
      <c r="B9">
        <v>3</v>
      </c>
      <c r="C9" s="1">
        <v>2395.0393223333335</v>
      </c>
      <c r="D9">
        <v>608.73782049187457</v>
      </c>
      <c r="E9">
        <f t="shared" si="0"/>
        <v>351.4549445268899</v>
      </c>
    </row>
    <row r="10" spans="1:5" x14ac:dyDescent="0.45">
      <c r="A10">
        <v>8</v>
      </c>
      <c r="B10">
        <v>3</v>
      </c>
      <c r="C10" s="1">
        <v>802.99664943333335</v>
      </c>
      <c r="D10">
        <v>464.79163441333566</v>
      </c>
      <c r="E10">
        <f t="shared" si="0"/>
        <v>268.34757524562548</v>
      </c>
    </row>
    <row r="11" spans="1:5" x14ac:dyDescent="0.45">
      <c r="A11">
        <v>9</v>
      </c>
      <c r="B11">
        <v>3</v>
      </c>
      <c r="C11" s="1">
        <v>1534.9288583333334</v>
      </c>
      <c r="D11">
        <v>321.5874284537116</v>
      </c>
      <c r="E11">
        <f t="shared" si="0"/>
        <v>185.66858838574993</v>
      </c>
    </row>
    <row r="12" spans="1:5" x14ac:dyDescent="0.45">
      <c r="A12">
        <v>10</v>
      </c>
      <c r="B12">
        <v>3</v>
      </c>
      <c r="C12" s="1">
        <v>3279.3790000000004</v>
      </c>
      <c r="D12">
        <v>438.75073998683797</v>
      </c>
      <c r="E12">
        <f t="shared" si="0"/>
        <v>253.31285783854841</v>
      </c>
    </row>
    <row r="13" spans="1:5" x14ac:dyDescent="0.45">
      <c r="A13">
        <v>11</v>
      </c>
      <c r="B13">
        <v>3</v>
      </c>
      <c r="C13" s="1">
        <v>3808.7533333333336</v>
      </c>
      <c r="D13">
        <v>470.12328089164964</v>
      </c>
      <c r="E13">
        <f t="shared" si="0"/>
        <v>271.42580277510399</v>
      </c>
    </row>
    <row r="14" spans="1:5" x14ac:dyDescent="0.45">
      <c r="A14">
        <v>12</v>
      </c>
      <c r="B14">
        <v>3</v>
      </c>
      <c r="C14" s="1">
        <v>4055.1296666666663</v>
      </c>
      <c r="D14">
        <v>338.31347746481117</v>
      </c>
      <c r="E14">
        <f t="shared" si="0"/>
        <v>195.32537728478712</v>
      </c>
    </row>
    <row r="15" spans="1:5" x14ac:dyDescent="0.45">
      <c r="A15">
        <v>13</v>
      </c>
      <c r="B15">
        <v>3</v>
      </c>
      <c r="C15" s="1">
        <v>3605.7022914444442</v>
      </c>
      <c r="D15">
        <v>365.08032184510449</v>
      </c>
      <c r="E15">
        <f t="shared" si="0"/>
        <v>210.77922209310631</v>
      </c>
    </row>
    <row r="16" spans="1:5" x14ac:dyDescent="0.45">
      <c r="A16">
        <v>14</v>
      </c>
      <c r="B16">
        <v>3</v>
      </c>
      <c r="C16" s="1">
        <v>3422.5317158055564</v>
      </c>
      <c r="D16">
        <v>806.87948598124603</v>
      </c>
      <c r="E16">
        <f t="shared" si="0"/>
        <v>465.8520884348593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3C75-A0AD-460F-8067-236145CA7A7B}">
  <dimension ref="A1:E16"/>
  <sheetViews>
    <sheetView workbookViewId="0">
      <selection activeCell="E2" sqref="E2:E1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 s="2">
        <v>33.29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 s="2">
        <v>217.0841517427306</v>
      </c>
      <c r="D3">
        <v>82.942577835704697</v>
      </c>
      <c r="E3">
        <f t="shared" ref="E3:E16" si="0">D3/SQRT(3)</f>
        <v>47.886919640725594</v>
      </c>
    </row>
    <row r="4" spans="1:5" x14ac:dyDescent="0.45">
      <c r="A4">
        <v>2</v>
      </c>
      <c r="B4">
        <v>3</v>
      </c>
      <c r="C4" s="2">
        <v>272.93943385326401</v>
      </c>
      <c r="D4">
        <v>78.199078998543811</v>
      </c>
      <c r="E4">
        <f t="shared" si="0"/>
        <v>45.148259310190085</v>
      </c>
    </row>
    <row r="5" spans="1:5" x14ac:dyDescent="0.45">
      <c r="A5">
        <v>3</v>
      </c>
      <c r="B5">
        <v>3</v>
      </c>
      <c r="C5" s="2">
        <v>342.41906412478335</v>
      </c>
      <c r="D5">
        <v>136.73248194182895</v>
      </c>
      <c r="E5">
        <f t="shared" si="0"/>
        <v>78.942535256080589</v>
      </c>
    </row>
    <row r="6" spans="1:5" x14ac:dyDescent="0.45">
      <c r="A6">
        <v>4</v>
      </c>
      <c r="B6">
        <v>3</v>
      </c>
      <c r="C6" s="2">
        <v>206.21956479876761</v>
      </c>
      <c r="D6">
        <v>68.247395482295033</v>
      </c>
      <c r="E6">
        <f t="shared" si="0"/>
        <v>39.402652153193891</v>
      </c>
    </row>
    <row r="7" spans="1:5" x14ac:dyDescent="0.45">
      <c r="A7">
        <v>5</v>
      </c>
      <c r="B7">
        <v>3</v>
      </c>
      <c r="C7" s="2">
        <v>105.47071057192375</v>
      </c>
      <c r="D7">
        <v>35.641477226573436</v>
      </c>
      <c r="E7">
        <f t="shared" si="0"/>
        <v>20.577616471078091</v>
      </c>
    </row>
    <row r="8" spans="1:5" x14ac:dyDescent="0.45">
      <c r="A8">
        <v>6</v>
      </c>
      <c r="B8">
        <v>3</v>
      </c>
      <c r="C8" s="2">
        <v>82.179048719429986</v>
      </c>
      <c r="D8">
        <v>22.668800203278657</v>
      </c>
      <c r="E8">
        <f t="shared" si="0"/>
        <v>13.087837899568777</v>
      </c>
    </row>
    <row r="9" spans="1:5" x14ac:dyDescent="0.45">
      <c r="A9">
        <v>7</v>
      </c>
      <c r="B9">
        <v>3</v>
      </c>
      <c r="C9" s="2">
        <v>47.756287309840168</v>
      </c>
      <c r="D9">
        <v>18.86061349505297</v>
      </c>
      <c r="E9">
        <f t="shared" si="0"/>
        <v>10.889180278450322</v>
      </c>
    </row>
    <row r="10" spans="1:5" x14ac:dyDescent="0.45">
      <c r="A10">
        <v>8</v>
      </c>
      <c r="B10">
        <v>3</v>
      </c>
      <c r="C10" s="2">
        <v>36.841709994222995</v>
      </c>
      <c r="D10">
        <v>9.0753186964969821</v>
      </c>
      <c r="E10">
        <f t="shared" si="0"/>
        <v>5.2396376924041768</v>
      </c>
    </row>
    <row r="11" spans="1:5" x14ac:dyDescent="0.45">
      <c r="A11">
        <v>9</v>
      </c>
      <c r="B11">
        <v>3</v>
      </c>
      <c r="C11" s="2">
        <v>28.779087232813406</v>
      </c>
      <c r="D11">
        <v>6.7359704668765081</v>
      </c>
      <c r="E11">
        <f t="shared" si="0"/>
        <v>3.8890143623045215</v>
      </c>
    </row>
    <row r="12" spans="1:5" x14ac:dyDescent="0.45">
      <c r="A12">
        <v>10</v>
      </c>
      <c r="B12">
        <v>3</v>
      </c>
      <c r="C12" s="2">
        <v>29.486424032351248</v>
      </c>
      <c r="D12">
        <v>4.6257291890525911</v>
      </c>
      <c r="E12">
        <f t="shared" si="0"/>
        <v>2.6706659924978231</v>
      </c>
    </row>
    <row r="13" spans="1:5" x14ac:dyDescent="0.45">
      <c r="A13">
        <v>11</v>
      </c>
      <c r="B13">
        <v>3</v>
      </c>
      <c r="C13" s="2">
        <v>27.453298671288277</v>
      </c>
      <c r="D13">
        <v>4.8920635541965023</v>
      </c>
      <c r="E13">
        <f t="shared" si="0"/>
        <v>2.8244342099081083</v>
      </c>
    </row>
    <row r="14" spans="1:5" x14ac:dyDescent="0.45">
      <c r="A14">
        <v>12</v>
      </c>
      <c r="B14">
        <v>3</v>
      </c>
      <c r="C14" s="2">
        <v>28.124417485076066</v>
      </c>
      <c r="D14">
        <v>3.270931474764462</v>
      </c>
      <c r="E14">
        <f t="shared" si="0"/>
        <v>1.8884731674560817</v>
      </c>
    </row>
    <row r="15" spans="1:5" x14ac:dyDescent="0.45">
      <c r="A15">
        <v>13</v>
      </c>
      <c r="B15">
        <v>3</v>
      </c>
      <c r="C15" s="2">
        <v>15.122649720777973</v>
      </c>
      <c r="D15">
        <v>4.6118320420758803</v>
      </c>
      <c r="E15">
        <f t="shared" si="0"/>
        <v>2.6626424709498511</v>
      </c>
    </row>
    <row r="16" spans="1:5" x14ac:dyDescent="0.45">
      <c r="A16">
        <v>14</v>
      </c>
      <c r="B16">
        <v>3</v>
      </c>
      <c r="C16" s="2">
        <v>15.52578698247641</v>
      </c>
      <c r="D16">
        <v>3.7851801988577902</v>
      </c>
      <c r="E16">
        <f t="shared" si="0"/>
        <v>2.1853748067417866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3279-B7FE-4957-A292-C9AC4DE2313F}">
  <dimension ref="A1:E16"/>
  <sheetViews>
    <sheetView workbookViewId="0">
      <selection activeCell="E2" sqref="E2:E1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 s="1">
        <v>49.9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 s="1">
        <v>466.89863276666665</v>
      </c>
      <c r="D3">
        <v>155.80394051525892</v>
      </c>
      <c r="E3">
        <f t="shared" ref="E3:E16" si="0">D3/SQRT(3)</f>
        <v>89.953446997289177</v>
      </c>
    </row>
    <row r="4" spans="1:5" x14ac:dyDescent="0.45">
      <c r="A4">
        <v>2</v>
      </c>
      <c r="B4">
        <v>3</v>
      </c>
      <c r="C4" s="1">
        <v>644.14715963333333</v>
      </c>
      <c r="D4">
        <v>83.262367576053691</v>
      </c>
      <c r="E4">
        <f t="shared" si="0"/>
        <v>48.071550333400168</v>
      </c>
    </row>
    <row r="5" spans="1:5" x14ac:dyDescent="0.45">
      <c r="A5">
        <v>3</v>
      </c>
      <c r="B5">
        <v>3</v>
      </c>
      <c r="C5" s="1">
        <v>939.30248416666666</v>
      </c>
      <c r="D5">
        <v>283.97986958041247</v>
      </c>
      <c r="E5">
        <f t="shared" si="0"/>
        <v>163.95585414668597</v>
      </c>
    </row>
    <row r="6" spans="1:5" x14ac:dyDescent="0.45">
      <c r="A6">
        <v>4</v>
      </c>
      <c r="B6">
        <v>3</v>
      </c>
      <c r="C6" s="1">
        <v>1445.2888929999999</v>
      </c>
      <c r="D6">
        <v>441.02195265005054</v>
      </c>
      <c r="E6">
        <f t="shared" si="0"/>
        <v>254.62414308104107</v>
      </c>
    </row>
    <row r="7" spans="1:5" x14ac:dyDescent="0.45">
      <c r="A7">
        <v>5</v>
      </c>
      <c r="B7">
        <v>3</v>
      </c>
      <c r="C7" s="1">
        <v>1517.7005200000001</v>
      </c>
      <c r="D7">
        <v>636.85611361407541</v>
      </c>
      <c r="E7">
        <f t="shared" si="0"/>
        <v>367.68904863014535</v>
      </c>
    </row>
    <row r="8" spans="1:5" x14ac:dyDescent="0.45">
      <c r="A8">
        <v>6</v>
      </c>
      <c r="B8">
        <v>3</v>
      </c>
      <c r="C8" s="1">
        <v>1976.4381053333334</v>
      </c>
      <c r="D8">
        <v>566.1277335523655</v>
      </c>
      <c r="E8">
        <f t="shared" si="0"/>
        <v>326.85399936217095</v>
      </c>
    </row>
    <row r="9" spans="1:5" x14ac:dyDescent="0.45">
      <c r="A9">
        <v>7</v>
      </c>
      <c r="B9">
        <v>3</v>
      </c>
      <c r="C9" s="1">
        <v>2276.2046983333335</v>
      </c>
      <c r="D9">
        <v>860.08039296445702</v>
      </c>
      <c r="E9">
        <f t="shared" si="0"/>
        <v>496.56764640274838</v>
      </c>
    </row>
    <row r="10" spans="1:5" x14ac:dyDescent="0.45">
      <c r="A10">
        <v>8</v>
      </c>
      <c r="B10">
        <v>3</v>
      </c>
      <c r="C10" s="1">
        <v>627.29838630000006</v>
      </c>
      <c r="D10">
        <v>162.70757977097213</v>
      </c>
      <c r="E10">
        <f t="shared" si="0"/>
        <v>93.939264979963269</v>
      </c>
    </row>
    <row r="11" spans="1:5" x14ac:dyDescent="0.45">
      <c r="A11">
        <v>9</v>
      </c>
      <c r="B11">
        <v>3</v>
      </c>
      <c r="C11" s="1">
        <v>1373.9274795666668</v>
      </c>
      <c r="D11">
        <v>548.61922468214436</v>
      </c>
      <c r="E11">
        <f t="shared" si="0"/>
        <v>316.74545705283987</v>
      </c>
    </row>
    <row r="12" spans="1:5" x14ac:dyDescent="0.45">
      <c r="A12">
        <v>10</v>
      </c>
      <c r="B12">
        <v>3</v>
      </c>
      <c r="C12" s="1">
        <v>2977.1223333333328</v>
      </c>
      <c r="D12">
        <v>1092.9781372915627</v>
      </c>
      <c r="E12">
        <f t="shared" si="0"/>
        <v>631.03122178365948</v>
      </c>
    </row>
    <row r="13" spans="1:5" x14ac:dyDescent="0.45">
      <c r="A13">
        <v>11</v>
      </c>
      <c r="B13">
        <v>3</v>
      </c>
      <c r="C13" s="1">
        <v>3312.5266666666666</v>
      </c>
      <c r="D13">
        <v>935.91270577673697</v>
      </c>
      <c r="E13">
        <f t="shared" si="0"/>
        <v>540.34945261819018</v>
      </c>
    </row>
    <row r="14" spans="1:5" x14ac:dyDescent="0.45">
      <c r="A14">
        <v>12</v>
      </c>
      <c r="B14">
        <v>3</v>
      </c>
      <c r="C14" s="1">
        <v>3410.6976666666669</v>
      </c>
      <c r="D14">
        <v>850.71350096335755</v>
      </c>
      <c r="E14">
        <f t="shared" si="0"/>
        <v>491.15966878444345</v>
      </c>
    </row>
    <row r="15" spans="1:5" x14ac:dyDescent="0.45">
      <c r="A15">
        <v>13</v>
      </c>
      <c r="B15">
        <v>3</v>
      </c>
      <c r="C15" s="1">
        <v>3302.9012901277783</v>
      </c>
      <c r="D15">
        <v>788.75938520429077</v>
      </c>
      <c r="E15">
        <f t="shared" si="0"/>
        <v>455.39044337354102</v>
      </c>
    </row>
    <row r="16" spans="1:5" x14ac:dyDescent="0.45">
      <c r="A16">
        <v>14</v>
      </c>
      <c r="B16">
        <v>3</v>
      </c>
      <c r="C16" s="1">
        <v>3257.5079144777774</v>
      </c>
      <c r="D16">
        <v>817.55419201540701</v>
      </c>
      <c r="E16">
        <f t="shared" si="0"/>
        <v>472.01513283720226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DE6C-C11E-420C-AE6C-9B404799C6B9}">
  <dimension ref="A1:E16"/>
  <sheetViews>
    <sheetView workbookViewId="0">
      <selection activeCell="E2" sqref="E2:E1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49.9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183.46964375120353</v>
      </c>
      <c r="D3">
        <v>77.816044420254173</v>
      </c>
      <c r="E3">
        <f t="shared" ref="E3:E16" si="0">D3/SQRT(3)</f>
        <v>44.927114193305627</v>
      </c>
    </row>
    <row r="4" spans="1:5" x14ac:dyDescent="0.45">
      <c r="A4">
        <v>2</v>
      </c>
      <c r="B4">
        <v>3</v>
      </c>
      <c r="C4">
        <v>231.61578890814556</v>
      </c>
      <c r="D4">
        <v>103.90507342691211</v>
      </c>
      <c r="E4">
        <f t="shared" si="0"/>
        <v>59.989622113195544</v>
      </c>
    </row>
    <row r="5" spans="1:5" x14ac:dyDescent="0.45">
      <c r="A5">
        <v>3</v>
      </c>
      <c r="B5">
        <v>3</v>
      </c>
      <c r="C5">
        <v>235.36068938956291</v>
      </c>
      <c r="D5">
        <v>152.64980111747317</v>
      </c>
      <c r="E5">
        <f t="shared" si="0"/>
        <v>88.132403766915985</v>
      </c>
    </row>
    <row r="6" spans="1:5" x14ac:dyDescent="0.45">
      <c r="A6">
        <v>4</v>
      </c>
      <c r="B6">
        <v>3</v>
      </c>
      <c r="C6">
        <v>139.90853071442325</v>
      </c>
      <c r="D6">
        <v>74.840894016423192</v>
      </c>
      <c r="E6">
        <f t="shared" si="0"/>
        <v>43.209410306774181</v>
      </c>
    </row>
    <row r="7" spans="1:5" x14ac:dyDescent="0.45">
      <c r="A7">
        <v>5</v>
      </c>
      <c r="B7">
        <v>3</v>
      </c>
      <c r="C7">
        <v>67.931681109185433</v>
      </c>
      <c r="D7">
        <v>21.587313321684853</v>
      </c>
      <c r="E7">
        <f t="shared" si="0"/>
        <v>12.463441157355545</v>
      </c>
    </row>
    <row r="8" spans="1:5" x14ac:dyDescent="0.45">
      <c r="A8">
        <v>6</v>
      </c>
      <c r="B8">
        <v>3</v>
      </c>
      <c r="C8">
        <v>51.423134989408823</v>
      </c>
      <c r="D8">
        <v>13.795992667279604</v>
      </c>
      <c r="E8">
        <f t="shared" si="0"/>
        <v>7.9651200801919826</v>
      </c>
    </row>
    <row r="9" spans="1:5" x14ac:dyDescent="0.45">
      <c r="A9">
        <v>7</v>
      </c>
      <c r="B9">
        <v>3</v>
      </c>
      <c r="C9">
        <v>46.84709801656075</v>
      </c>
      <c r="D9">
        <v>9.5144528673657316</v>
      </c>
      <c r="E9">
        <f t="shared" si="0"/>
        <v>5.4931719241656118</v>
      </c>
    </row>
    <row r="10" spans="1:5" x14ac:dyDescent="0.45">
      <c r="A10">
        <v>8</v>
      </c>
      <c r="B10">
        <v>3</v>
      </c>
      <c r="C10">
        <v>27.746065857885615</v>
      </c>
      <c r="D10">
        <v>14.015156714151658</v>
      </c>
      <c r="E10">
        <f t="shared" si="0"/>
        <v>8.0916545016502504</v>
      </c>
    </row>
    <row r="11" spans="1:5" x14ac:dyDescent="0.45">
      <c r="A11">
        <v>9</v>
      </c>
      <c r="B11">
        <v>3</v>
      </c>
      <c r="C11">
        <v>24.967168110918539</v>
      </c>
      <c r="D11">
        <v>10.71397000085658</v>
      </c>
      <c r="E11">
        <f t="shared" si="0"/>
        <v>6.185713464084122</v>
      </c>
    </row>
    <row r="12" spans="1:5" x14ac:dyDescent="0.45">
      <c r="A12">
        <v>10</v>
      </c>
      <c r="B12">
        <v>3</v>
      </c>
      <c r="C12">
        <v>18.376767571731175</v>
      </c>
      <c r="D12">
        <v>5.7617987741849097</v>
      </c>
      <c r="E12">
        <f t="shared" si="0"/>
        <v>3.3265760732921135</v>
      </c>
    </row>
    <row r="13" spans="1:5" x14ac:dyDescent="0.45">
      <c r="A13">
        <v>11</v>
      </c>
      <c r="B13">
        <v>3</v>
      </c>
      <c r="C13">
        <v>21.960073175428459</v>
      </c>
      <c r="D13">
        <v>7.3305453186292606</v>
      </c>
      <c r="E13">
        <f t="shared" si="0"/>
        <v>4.2322923130173544</v>
      </c>
    </row>
    <row r="14" spans="1:5" x14ac:dyDescent="0.45">
      <c r="A14">
        <v>12</v>
      </c>
      <c r="B14">
        <v>3</v>
      </c>
      <c r="C14">
        <v>12.367027113421912</v>
      </c>
      <c r="D14">
        <v>0.91544290862286315</v>
      </c>
      <c r="E14">
        <f t="shared" si="0"/>
        <v>0.52853120972114409</v>
      </c>
    </row>
    <row r="15" spans="1:5" x14ac:dyDescent="0.45">
      <c r="A15">
        <v>13</v>
      </c>
      <c r="B15">
        <v>3</v>
      </c>
      <c r="C15">
        <v>15.383145657616021</v>
      </c>
      <c r="D15">
        <v>7.7990384991861221</v>
      </c>
      <c r="E15">
        <f t="shared" si="0"/>
        <v>4.5027769769253627</v>
      </c>
    </row>
    <row r="16" spans="1:5" x14ac:dyDescent="0.45">
      <c r="A16">
        <v>14</v>
      </c>
      <c r="B16">
        <v>3</v>
      </c>
      <c r="C16">
        <v>12.042997034469478</v>
      </c>
      <c r="D16">
        <v>1.982065469950459</v>
      </c>
      <c r="E16">
        <f t="shared" si="0"/>
        <v>1.1443460326273596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2ED1-5B27-40FE-81D5-2D6B3383B338}">
  <dimension ref="A1:E16"/>
  <sheetViews>
    <sheetView workbookViewId="0">
      <selection activeCell="E2" sqref="E2:E1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49.935000000000002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285.41570000000002</v>
      </c>
      <c r="D3">
        <v>65.214938081393328</v>
      </c>
      <c r="E3">
        <f t="shared" ref="E3:E16" si="0">D3/SQRT(3)</f>
        <v>37.651862056477214</v>
      </c>
    </row>
    <row r="4" spans="1:5" x14ac:dyDescent="0.45">
      <c r="A4">
        <v>2</v>
      </c>
      <c r="B4">
        <v>3</v>
      </c>
      <c r="C4">
        <v>542.07749999999999</v>
      </c>
      <c r="D4">
        <v>208.11541756977033</v>
      </c>
      <c r="E4">
        <f t="shared" si="0"/>
        <v>120.15549235641828</v>
      </c>
    </row>
    <row r="5" spans="1:5" x14ac:dyDescent="0.45">
      <c r="A5">
        <v>3</v>
      </c>
      <c r="B5">
        <v>3</v>
      </c>
      <c r="C5">
        <v>1032.8010666666667</v>
      </c>
      <c r="D5">
        <v>398.94342291119864</v>
      </c>
      <c r="E5">
        <f t="shared" si="0"/>
        <v>230.33009260921125</v>
      </c>
    </row>
    <row r="6" spans="1:5" x14ac:dyDescent="0.45">
      <c r="A6">
        <v>4</v>
      </c>
      <c r="B6">
        <v>3</v>
      </c>
      <c r="C6">
        <v>1178.4804333333334</v>
      </c>
      <c r="D6">
        <v>444.31490598628687</v>
      </c>
      <c r="E6">
        <f t="shared" si="0"/>
        <v>256.52533057614602</v>
      </c>
    </row>
    <row r="7" spans="1:5" x14ac:dyDescent="0.45">
      <c r="A7">
        <v>5</v>
      </c>
      <c r="B7">
        <v>3</v>
      </c>
      <c r="C7">
        <v>1635.1760000000002</v>
      </c>
      <c r="D7">
        <v>627.23954885434239</v>
      </c>
      <c r="E7">
        <f t="shared" si="0"/>
        <v>362.13692237743402</v>
      </c>
    </row>
    <row r="8" spans="1:5" x14ac:dyDescent="0.45">
      <c r="A8">
        <v>6</v>
      </c>
      <c r="B8">
        <v>3</v>
      </c>
      <c r="C8">
        <v>1983.3369999999998</v>
      </c>
      <c r="D8">
        <v>791.11648911332975</v>
      </c>
      <c r="E8">
        <f t="shared" si="0"/>
        <v>456.75131794993257</v>
      </c>
    </row>
    <row r="9" spans="1:5" x14ac:dyDescent="0.45">
      <c r="A9">
        <v>7</v>
      </c>
      <c r="B9">
        <v>3</v>
      </c>
      <c r="C9">
        <v>2195.8156666666669</v>
      </c>
      <c r="D9">
        <v>802.94525692249533</v>
      </c>
      <c r="E9">
        <f t="shared" si="0"/>
        <v>463.58066022873595</v>
      </c>
    </row>
    <row r="10" spans="1:5" x14ac:dyDescent="0.45">
      <c r="A10">
        <v>8</v>
      </c>
      <c r="B10">
        <v>3</v>
      </c>
      <c r="C10" t="e">
        <v>#DIV/0!</v>
      </c>
      <c r="D10" t="e">
        <v>#DIV/0!</v>
      </c>
      <c r="E10" t="e">
        <f t="shared" si="0"/>
        <v>#DIV/0!</v>
      </c>
    </row>
    <row r="11" spans="1:5" x14ac:dyDescent="0.45">
      <c r="A11">
        <v>9</v>
      </c>
      <c r="B11">
        <v>3</v>
      </c>
      <c r="C11" t="e">
        <v>#DIV/0!</v>
      </c>
      <c r="D11" t="e">
        <v>#DIV/0!</v>
      </c>
      <c r="E11" t="e">
        <f t="shared" si="0"/>
        <v>#DIV/0!</v>
      </c>
    </row>
    <row r="12" spans="1:5" x14ac:dyDescent="0.45">
      <c r="A12">
        <v>10</v>
      </c>
      <c r="B12">
        <v>3</v>
      </c>
      <c r="C12">
        <v>2905.8273333333332</v>
      </c>
      <c r="D12">
        <v>488.53208485250434</v>
      </c>
      <c r="E12">
        <f t="shared" si="0"/>
        <v>282.0541306973625</v>
      </c>
    </row>
    <row r="13" spans="1:5" x14ac:dyDescent="0.45">
      <c r="A13">
        <v>11</v>
      </c>
      <c r="B13">
        <v>3</v>
      </c>
      <c r="C13">
        <v>3223.3823333333335</v>
      </c>
      <c r="D13">
        <v>486.24531187594084</v>
      </c>
      <c r="E13">
        <f t="shared" si="0"/>
        <v>280.73386170376801</v>
      </c>
    </row>
    <row r="14" spans="1:5" x14ac:dyDescent="0.45">
      <c r="A14">
        <v>12</v>
      </c>
      <c r="B14">
        <v>3</v>
      </c>
      <c r="C14" t="e">
        <v>#DIV/0!</v>
      </c>
      <c r="D14" t="e">
        <v>#DIV/0!</v>
      </c>
      <c r="E14" t="e">
        <f t="shared" si="0"/>
        <v>#DIV/0!</v>
      </c>
    </row>
    <row r="15" spans="1:5" x14ac:dyDescent="0.45">
      <c r="A15">
        <v>13</v>
      </c>
      <c r="B15">
        <v>3</v>
      </c>
      <c r="C15">
        <v>2669.1116666666662</v>
      </c>
      <c r="D15">
        <v>280.17254598610003</v>
      </c>
      <c r="E15">
        <f t="shared" si="0"/>
        <v>161.75769484461767</v>
      </c>
    </row>
    <row r="16" spans="1:5" x14ac:dyDescent="0.45">
      <c r="A16">
        <v>14</v>
      </c>
      <c r="B16">
        <v>3</v>
      </c>
      <c r="C16">
        <v>2816.1030000000005</v>
      </c>
      <c r="D16">
        <v>199.79854552273409</v>
      </c>
      <c r="E16">
        <f t="shared" si="0"/>
        <v>115.35374404124623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2068-0F88-4F5A-B167-A7CA666941DC}">
  <dimension ref="A1:E16"/>
  <sheetViews>
    <sheetView workbookViewId="0">
      <selection activeCell="E2" sqref="E2:E1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16.645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107.36595417444444</v>
      </c>
      <c r="D3">
        <v>77.816044420254173</v>
      </c>
      <c r="E3">
        <f t="shared" ref="E3:E16" si="0">D3/SQRT(3)</f>
        <v>44.927114193305627</v>
      </c>
    </row>
    <row r="4" spans="1:5" x14ac:dyDescent="0.45">
      <c r="A4">
        <v>2</v>
      </c>
      <c r="B4">
        <v>3</v>
      </c>
      <c r="C4">
        <v>120.49139226</v>
      </c>
      <c r="D4">
        <v>103.90507342691211</v>
      </c>
      <c r="E4">
        <f t="shared" si="0"/>
        <v>59.989622113195544</v>
      </c>
    </row>
    <row r="5" spans="1:5" x14ac:dyDescent="0.45">
      <c r="A5">
        <v>3</v>
      </c>
      <c r="B5">
        <v>3</v>
      </c>
      <c r="C5">
        <v>133.68126324944447</v>
      </c>
      <c r="D5">
        <v>152.64980111747317</v>
      </c>
      <c r="E5">
        <f t="shared" si="0"/>
        <v>88.132403766915985</v>
      </c>
    </row>
    <row r="6" spans="1:5" x14ac:dyDescent="0.45">
      <c r="A6">
        <v>4</v>
      </c>
      <c r="B6">
        <v>3</v>
      </c>
      <c r="C6">
        <v>74.640169460555555</v>
      </c>
      <c r="D6">
        <v>74.840894016423192</v>
      </c>
      <c r="E6">
        <f t="shared" si="0"/>
        <v>43.209410306774181</v>
      </c>
    </row>
    <row r="7" spans="1:5" x14ac:dyDescent="0.45">
      <c r="A7">
        <v>5</v>
      </c>
      <c r="B7">
        <v>3</v>
      </c>
      <c r="C7">
        <v>40.28211823611111</v>
      </c>
      <c r="D7">
        <v>21.587313321684853</v>
      </c>
      <c r="E7">
        <f t="shared" si="0"/>
        <v>12.463441157355545</v>
      </c>
    </row>
    <row r="8" spans="1:5" x14ac:dyDescent="0.45">
      <c r="A8">
        <v>6</v>
      </c>
      <c r="B8">
        <v>3</v>
      </c>
      <c r="C8">
        <v>33.59133448722222</v>
      </c>
      <c r="D8">
        <v>13.795992667279604</v>
      </c>
      <c r="E8">
        <f t="shared" si="0"/>
        <v>7.9651200801919826</v>
      </c>
    </row>
    <row r="9" spans="1:5" x14ac:dyDescent="0.45">
      <c r="A9">
        <v>7</v>
      </c>
      <c r="B9">
        <v>3</v>
      </c>
      <c r="C9">
        <v>23.496938186833333</v>
      </c>
      <c r="D9">
        <v>9.5144528673657316</v>
      </c>
      <c r="E9">
        <f t="shared" si="0"/>
        <v>5.4931719241656118</v>
      </c>
    </row>
    <row r="10" spans="1:5" x14ac:dyDescent="0.45">
      <c r="A10">
        <v>8</v>
      </c>
      <c r="B10">
        <v>3</v>
      </c>
      <c r="C10">
        <v>12.478270748722222</v>
      </c>
      <c r="D10">
        <v>14.015156714151658</v>
      </c>
      <c r="E10">
        <f t="shared" si="0"/>
        <v>8.0916545016502504</v>
      </c>
    </row>
    <row r="11" spans="1:5" x14ac:dyDescent="0.45">
      <c r="A11">
        <v>9</v>
      </c>
      <c r="B11">
        <v>3</v>
      </c>
      <c r="C11">
        <v>13.992062390722223</v>
      </c>
      <c r="D11">
        <v>10.71397000085658</v>
      </c>
      <c r="E11">
        <f t="shared" si="0"/>
        <v>6.185713464084122</v>
      </c>
    </row>
    <row r="12" spans="1:5" x14ac:dyDescent="0.45">
      <c r="A12">
        <v>10</v>
      </c>
      <c r="B12">
        <v>3</v>
      </c>
      <c r="C12">
        <v>14.245954169055556</v>
      </c>
      <c r="D12">
        <v>5.7617987741849097</v>
      </c>
      <c r="E12">
        <f t="shared" si="0"/>
        <v>3.3265760732921135</v>
      </c>
    </row>
    <row r="13" spans="1:5" x14ac:dyDescent="0.45">
      <c r="A13">
        <v>11</v>
      </c>
      <c r="B13">
        <v>3</v>
      </c>
      <c r="C13">
        <v>10.091750433055557</v>
      </c>
      <c r="D13">
        <v>7.3305453186292606</v>
      </c>
      <c r="E13">
        <f t="shared" si="0"/>
        <v>4.2322923130173544</v>
      </c>
    </row>
    <row r="14" spans="1:5" x14ac:dyDescent="0.45">
      <c r="A14">
        <v>12</v>
      </c>
      <c r="B14">
        <v>3</v>
      </c>
      <c r="C14">
        <v>5.2527790107777781</v>
      </c>
      <c r="D14">
        <v>0.91544290862286315</v>
      </c>
      <c r="E14">
        <f t="shared" si="0"/>
        <v>0.52853120972114409</v>
      </c>
    </row>
    <row r="15" spans="1:5" x14ac:dyDescent="0.45">
      <c r="A15">
        <v>13</v>
      </c>
      <c r="B15">
        <v>3</v>
      </c>
      <c r="C15">
        <v>3.5676913540000004</v>
      </c>
      <c r="D15">
        <v>7.7990384991861221</v>
      </c>
      <c r="E15">
        <f t="shared" si="0"/>
        <v>4.5027769769253627</v>
      </c>
    </row>
    <row r="16" spans="1:5" x14ac:dyDescent="0.45">
      <c r="A16">
        <v>14</v>
      </c>
      <c r="B16">
        <v>3</v>
      </c>
      <c r="C16">
        <v>107.36595417444444</v>
      </c>
      <c r="D16">
        <v>1.982065469950459</v>
      </c>
      <c r="E16">
        <f t="shared" si="0"/>
        <v>1.1443460326273596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463E-282D-4F1B-8EA3-E01B75DBD91F}">
  <dimension ref="A1:E16"/>
  <sheetViews>
    <sheetView workbookViewId="0">
      <selection activeCell="E2" sqref="E2:E1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74.849999999999994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704.54273060000003</v>
      </c>
      <c r="D3">
        <v>37.156432975145961</v>
      </c>
      <c r="E3">
        <f t="shared" ref="E3:E16" si="0">D3/SQRT(3)</f>
        <v>21.45227658032681</v>
      </c>
    </row>
    <row r="4" spans="1:5" x14ac:dyDescent="0.45">
      <c r="A4">
        <v>2</v>
      </c>
      <c r="B4">
        <v>3</v>
      </c>
      <c r="C4">
        <v>1080.4734064333334</v>
      </c>
      <c r="D4">
        <v>296.75845867909874</v>
      </c>
      <c r="E4">
        <f t="shared" si="0"/>
        <v>171.3335760026761</v>
      </c>
    </row>
    <row r="5" spans="1:5" x14ac:dyDescent="0.45">
      <c r="A5">
        <v>3</v>
      </c>
      <c r="B5">
        <v>3</v>
      </c>
      <c r="C5">
        <v>1910.6240323333332</v>
      </c>
      <c r="D5">
        <v>393.80660956390682</v>
      </c>
      <c r="E5">
        <f t="shared" si="0"/>
        <v>227.36435204037548</v>
      </c>
    </row>
    <row r="6" spans="1:5" x14ac:dyDescent="0.45">
      <c r="A6">
        <v>4</v>
      </c>
      <c r="B6">
        <v>3</v>
      </c>
      <c r="C6">
        <v>2020.192374333333</v>
      </c>
      <c r="D6">
        <v>474.11355333659071</v>
      </c>
      <c r="E6">
        <f t="shared" si="0"/>
        <v>273.72958764533064</v>
      </c>
    </row>
    <row r="7" spans="1:5" x14ac:dyDescent="0.45">
      <c r="A7">
        <v>5</v>
      </c>
      <c r="B7">
        <v>3</v>
      </c>
      <c r="C7">
        <v>2887.4453303333335</v>
      </c>
      <c r="D7">
        <v>605.85978880227583</v>
      </c>
      <c r="E7">
        <f t="shared" si="0"/>
        <v>349.79331215616378</v>
      </c>
    </row>
    <row r="8" spans="1:5" x14ac:dyDescent="0.45">
      <c r="A8">
        <v>6</v>
      </c>
      <c r="B8">
        <v>3</v>
      </c>
      <c r="C8">
        <v>3106.0990176666669</v>
      </c>
      <c r="D8">
        <v>484.83217366211204</v>
      </c>
      <c r="E8">
        <f t="shared" si="0"/>
        <v>279.91798597561177</v>
      </c>
    </row>
    <row r="9" spans="1:5" x14ac:dyDescent="0.45">
      <c r="A9">
        <v>7</v>
      </c>
      <c r="B9">
        <v>3</v>
      </c>
      <c r="C9">
        <v>3480.6362410000002</v>
      </c>
      <c r="D9">
        <v>393.70472816204693</v>
      </c>
      <c r="E9">
        <f t="shared" si="0"/>
        <v>227.30553078558626</v>
      </c>
    </row>
    <row r="10" spans="1:5" x14ac:dyDescent="0.45">
      <c r="A10">
        <v>8</v>
      </c>
      <c r="B10">
        <v>3</v>
      </c>
      <c r="C10">
        <v>1232.7220875333333</v>
      </c>
      <c r="D10">
        <v>336.74874495443277</v>
      </c>
      <c r="E10">
        <f t="shared" si="0"/>
        <v>194.4219785487104</v>
      </c>
    </row>
    <row r="11" spans="1:5" x14ac:dyDescent="0.45">
      <c r="A11">
        <v>9</v>
      </c>
      <c r="B11">
        <v>3</v>
      </c>
      <c r="C11">
        <v>2181.4256116666666</v>
      </c>
      <c r="D11">
        <v>618.03821062294173</v>
      </c>
      <c r="E11">
        <f t="shared" si="0"/>
        <v>356.82452727263006</v>
      </c>
    </row>
    <row r="12" spans="1:5" x14ac:dyDescent="0.45">
      <c r="A12">
        <v>10</v>
      </c>
      <c r="B12">
        <v>3</v>
      </c>
      <c r="C12">
        <v>3948.0570000000002</v>
      </c>
      <c r="D12">
        <v>226.92123324845562</v>
      </c>
      <c r="E12">
        <f t="shared" si="0"/>
        <v>131.01303510083773</v>
      </c>
    </row>
    <row r="13" spans="1:5" x14ac:dyDescent="0.45">
      <c r="A13">
        <v>11</v>
      </c>
      <c r="B13">
        <v>3</v>
      </c>
      <c r="C13">
        <v>4002.1486666666665</v>
      </c>
      <c r="D13">
        <v>206.04714645278011</v>
      </c>
      <c r="E13">
        <f t="shared" si="0"/>
        <v>118.96137547026684</v>
      </c>
    </row>
    <row r="14" spans="1:5" x14ac:dyDescent="0.45">
      <c r="A14">
        <v>12</v>
      </c>
      <c r="B14">
        <v>3</v>
      </c>
      <c r="E14">
        <f t="shared" si="0"/>
        <v>0</v>
      </c>
    </row>
    <row r="15" spans="1:5" x14ac:dyDescent="0.45">
      <c r="A15">
        <v>13</v>
      </c>
      <c r="B15">
        <v>3</v>
      </c>
      <c r="C15">
        <v>3531.6643333333336</v>
      </c>
      <c r="D15">
        <v>242.30144731786746</v>
      </c>
      <c r="E15">
        <f t="shared" si="0"/>
        <v>139.89280583400671</v>
      </c>
    </row>
    <row r="16" spans="1:5" x14ac:dyDescent="0.45">
      <c r="A16">
        <v>14</v>
      </c>
      <c r="B16">
        <v>3</v>
      </c>
      <c r="C16">
        <v>3465.5913333333333</v>
      </c>
      <c r="D16">
        <v>233.38781084352584</v>
      </c>
      <c r="E16">
        <f t="shared" si="0"/>
        <v>134.74651541608711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B55E-AABF-4696-8DEC-B388C3098B61}">
  <dimension ref="A1:E16"/>
  <sheetViews>
    <sheetView workbookViewId="0">
      <selection sqref="A1:E1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24.95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206.78517235000001</v>
      </c>
      <c r="D3">
        <v>26.094489073642762</v>
      </c>
      <c r="E3">
        <f t="shared" ref="E3:E16" si="0">D3/SQRT(3)</f>
        <v>15.065660291033398</v>
      </c>
    </row>
    <row r="4" spans="1:5" x14ac:dyDescent="0.45">
      <c r="A4">
        <v>2</v>
      </c>
      <c r="B4">
        <v>3</v>
      </c>
      <c r="C4">
        <v>223.84436741555555</v>
      </c>
      <c r="D4">
        <v>59.410550100247605</v>
      </c>
      <c r="E4">
        <f t="shared" si="0"/>
        <v>34.300697093081702</v>
      </c>
    </row>
    <row r="5" spans="1:5" x14ac:dyDescent="0.45">
      <c r="A5">
        <v>3</v>
      </c>
      <c r="B5">
        <v>3</v>
      </c>
      <c r="C5">
        <v>205.61444252055551</v>
      </c>
      <c r="D5">
        <v>60.308468421994803</v>
      </c>
      <c r="E5">
        <f t="shared" si="0"/>
        <v>34.819110477852746</v>
      </c>
    </row>
    <row r="6" spans="1:5" x14ac:dyDescent="0.45">
      <c r="A6">
        <v>4</v>
      </c>
      <c r="B6">
        <v>3</v>
      </c>
      <c r="C6">
        <v>100.29027537944444</v>
      </c>
      <c r="D6">
        <v>25.764977134496245</v>
      </c>
      <c r="E6">
        <f t="shared" si="0"/>
        <v>14.87541648426596</v>
      </c>
    </row>
    <row r="7" spans="1:5" x14ac:dyDescent="0.45">
      <c r="A7">
        <v>5</v>
      </c>
      <c r="B7">
        <v>3</v>
      </c>
      <c r="C7">
        <v>55.01582900333333</v>
      </c>
      <c r="D7">
        <v>11.933214523843867</v>
      </c>
      <c r="E7">
        <f t="shared" si="0"/>
        <v>6.8896446176388091</v>
      </c>
    </row>
    <row r="8" spans="1:5" x14ac:dyDescent="0.45">
      <c r="A8">
        <v>6</v>
      </c>
      <c r="B8">
        <v>3</v>
      </c>
      <c r="C8">
        <v>46.778047371666666</v>
      </c>
      <c r="D8">
        <v>8.8891930180254235</v>
      </c>
      <c r="E8">
        <f t="shared" si="0"/>
        <v>5.13217798183552</v>
      </c>
    </row>
    <row r="9" spans="1:5" x14ac:dyDescent="0.45">
      <c r="A9">
        <v>7</v>
      </c>
      <c r="B9">
        <v>3</v>
      </c>
      <c r="C9">
        <v>64.082957827222216</v>
      </c>
      <c r="D9">
        <v>34.066919054139099</v>
      </c>
      <c r="E9">
        <f t="shared" si="0"/>
        <v>19.668544886368402</v>
      </c>
    </row>
    <row r="10" spans="1:5" x14ac:dyDescent="0.45">
      <c r="A10">
        <v>8</v>
      </c>
      <c r="B10">
        <v>3</v>
      </c>
      <c r="C10">
        <v>19.35689967261111</v>
      </c>
      <c r="D10">
        <v>6.6592025860914443</v>
      </c>
      <c r="E10">
        <f t="shared" si="0"/>
        <v>3.8446924056681477</v>
      </c>
    </row>
    <row r="11" spans="1:5" x14ac:dyDescent="0.45">
      <c r="A11">
        <v>9</v>
      </c>
      <c r="B11">
        <v>3</v>
      </c>
      <c r="C11">
        <v>14.673040631555557</v>
      </c>
      <c r="D11">
        <v>2.2851067535611911</v>
      </c>
      <c r="E11">
        <f t="shared" si="0"/>
        <v>1.3193069992955855</v>
      </c>
    </row>
    <row r="12" spans="1:5" x14ac:dyDescent="0.45">
      <c r="A12">
        <v>10</v>
      </c>
      <c r="B12">
        <v>3</v>
      </c>
      <c r="C12">
        <v>20.602441749277776</v>
      </c>
      <c r="D12">
        <v>11.408973192490036</v>
      </c>
      <c r="E12">
        <f t="shared" si="0"/>
        <v>6.5869737438613463</v>
      </c>
    </row>
    <row r="13" spans="1:5" x14ac:dyDescent="0.45">
      <c r="A13">
        <v>11</v>
      </c>
      <c r="B13">
        <v>3</v>
      </c>
      <c r="C13">
        <v>11.721979587944446</v>
      </c>
      <c r="D13">
        <v>4.76372869753577</v>
      </c>
      <c r="E13">
        <f t="shared" si="0"/>
        <v>2.7503400458686222</v>
      </c>
    </row>
    <row r="14" spans="1:5" x14ac:dyDescent="0.45">
      <c r="A14">
        <v>12</v>
      </c>
      <c r="B14">
        <v>3</v>
      </c>
      <c r="C14" s="2">
        <v>12.373445715500003</v>
      </c>
      <c r="D14">
        <v>5.1334756266548887</v>
      </c>
      <c r="E14">
        <f t="shared" si="0"/>
        <v>2.9638135349275831</v>
      </c>
    </row>
    <row r="15" spans="1:5" x14ac:dyDescent="0.45">
      <c r="A15">
        <v>13</v>
      </c>
      <c r="B15">
        <v>3</v>
      </c>
      <c r="C15">
        <v>11.765658308999997</v>
      </c>
      <c r="D15">
        <v>3.8888241068738978</v>
      </c>
      <c r="E15">
        <f t="shared" si="0"/>
        <v>2.2452136449347511</v>
      </c>
    </row>
    <row r="16" spans="1:5" x14ac:dyDescent="0.45">
      <c r="A16">
        <v>14</v>
      </c>
      <c r="B16">
        <v>3</v>
      </c>
      <c r="C16">
        <v>206.78517235000001</v>
      </c>
      <c r="D16">
        <v>26.094489073642762</v>
      </c>
      <c r="E16">
        <f t="shared" si="0"/>
        <v>15.065660291033398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9649-BE6E-4130-9086-A8884F90A105}">
  <dimension ref="A1:E16"/>
  <sheetViews>
    <sheetView workbookViewId="0">
      <selection activeCell="D18" sqref="D18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66.58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412.03928365106873</v>
      </c>
      <c r="D3">
        <v>40.650347627393273</v>
      </c>
      <c r="E3">
        <f t="shared" ref="E3:E16" si="0">D3/SQRT(3)</f>
        <v>23.469489145327373</v>
      </c>
    </row>
    <row r="4" spans="1:5" x14ac:dyDescent="0.45">
      <c r="A4">
        <v>2</v>
      </c>
      <c r="B4">
        <v>3</v>
      </c>
      <c r="C4">
        <v>578.96965145388015</v>
      </c>
      <c r="D4">
        <v>84.384878527457658</v>
      </c>
      <c r="E4">
        <f t="shared" si="0"/>
        <v>48.719632333361552</v>
      </c>
    </row>
    <row r="5" spans="1:5" x14ac:dyDescent="0.45">
      <c r="A5">
        <v>3</v>
      </c>
      <c r="B5">
        <v>3</v>
      </c>
      <c r="C5">
        <v>885.52674754477175</v>
      </c>
      <c r="D5">
        <v>51.833876314627531</v>
      </c>
      <c r="E5">
        <f t="shared" si="0"/>
        <v>29.926302443391975</v>
      </c>
    </row>
    <row r="6" spans="1:5" x14ac:dyDescent="0.45">
      <c r="A6">
        <v>4</v>
      </c>
      <c r="B6">
        <v>3</v>
      </c>
      <c r="C6">
        <v>929.1773156171771</v>
      </c>
      <c r="D6">
        <v>128.8243468398914</v>
      </c>
      <c r="E6">
        <f t="shared" si="0"/>
        <v>74.376771326189015</v>
      </c>
    </row>
    <row r="7" spans="1:5" x14ac:dyDescent="0.45">
      <c r="A7">
        <v>5</v>
      </c>
      <c r="B7">
        <v>3</v>
      </c>
      <c r="C7">
        <v>1793.7441170806853</v>
      </c>
      <c r="D7">
        <v>360.66360579687256</v>
      </c>
      <c r="E7">
        <f t="shared" si="0"/>
        <v>208.22922989372546</v>
      </c>
    </row>
    <row r="8" spans="1:5" x14ac:dyDescent="0.45">
      <c r="A8">
        <v>6</v>
      </c>
      <c r="B8">
        <v>3</v>
      </c>
      <c r="C8">
        <v>2061.104910456384</v>
      </c>
      <c r="D8">
        <v>159.58820683150893</v>
      </c>
      <c r="E8">
        <f t="shared" si="0"/>
        <v>92.138294173661365</v>
      </c>
    </row>
    <row r="9" spans="1:5" x14ac:dyDescent="0.45">
      <c r="A9">
        <v>7</v>
      </c>
      <c r="B9">
        <v>3</v>
      </c>
      <c r="C9">
        <v>2442.2791835162716</v>
      </c>
      <c r="D9">
        <v>98.547193271247721</v>
      </c>
      <c r="E9">
        <f t="shared" si="0"/>
        <v>56.896248563036949</v>
      </c>
    </row>
    <row r="10" spans="1:5" x14ac:dyDescent="0.45">
      <c r="A10">
        <v>8</v>
      </c>
      <c r="B10">
        <v>3</v>
      </c>
      <c r="C10">
        <v>670.72840362025806</v>
      </c>
      <c r="D10">
        <v>126.49294448899532</v>
      </c>
      <c r="E10">
        <f t="shared" si="0"/>
        <v>73.030735551309846</v>
      </c>
    </row>
    <row r="11" spans="1:5" x14ac:dyDescent="0.45">
      <c r="A11">
        <v>9</v>
      </c>
      <c r="B11">
        <v>3</v>
      </c>
      <c r="C11">
        <v>982.56013864818021</v>
      </c>
      <c r="D11">
        <v>201.13325240279909</v>
      </c>
      <c r="E11">
        <f t="shared" si="0"/>
        <v>116.124337417741</v>
      </c>
    </row>
    <row r="12" spans="1:5" x14ac:dyDescent="0.45">
      <c r="A12">
        <v>10</v>
      </c>
      <c r="B12">
        <v>3</v>
      </c>
      <c r="C12">
        <v>1367.5137279999999</v>
      </c>
      <c r="D12">
        <v>340.08735903036836</v>
      </c>
      <c r="E12">
        <f t="shared" si="0"/>
        <v>196.3495282841721</v>
      </c>
    </row>
    <row r="13" spans="1:5" x14ac:dyDescent="0.45">
      <c r="A13">
        <v>11</v>
      </c>
      <c r="B13">
        <v>3</v>
      </c>
      <c r="C13">
        <v>1579.1276718659735</v>
      </c>
      <c r="D13">
        <v>392.4490078527225</v>
      </c>
      <c r="E13">
        <f t="shared" si="0"/>
        <v>226.58054032697092</v>
      </c>
    </row>
    <row r="14" spans="1:5" x14ac:dyDescent="0.45">
      <c r="A14">
        <v>12</v>
      </c>
      <c r="B14">
        <v>3</v>
      </c>
      <c r="C14" s="2">
        <v>2476.1967263624106</v>
      </c>
      <c r="D14">
        <v>481.53104307125801</v>
      </c>
      <c r="E14">
        <f t="shared" si="0"/>
        <v>278.01207734035211</v>
      </c>
    </row>
    <row r="15" spans="1:5" x14ac:dyDescent="0.45">
      <c r="A15">
        <v>13</v>
      </c>
      <c r="B15">
        <v>3</v>
      </c>
      <c r="C15">
        <v>2752.389647602542</v>
      </c>
      <c r="D15">
        <v>313.47172655298215</v>
      </c>
      <c r="E15">
        <f t="shared" si="0"/>
        <v>180.98298570870102</v>
      </c>
    </row>
    <row r="16" spans="1:5" x14ac:dyDescent="0.45">
      <c r="A16">
        <v>14</v>
      </c>
      <c r="B16">
        <v>3</v>
      </c>
      <c r="C16">
        <v>2747.7444097823991</v>
      </c>
      <c r="D16">
        <v>432.89726260181214</v>
      </c>
      <c r="E16">
        <f t="shared" si="0"/>
        <v>249.93335109460838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5159-C4EC-4A59-980D-BADF8D44FE4A}">
  <dimension ref="A1:E14"/>
  <sheetViews>
    <sheetView workbookViewId="0">
      <selection activeCell="D2" sqref="D2:D13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66.58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238.81093009820907</v>
      </c>
      <c r="D3">
        <v>92.798830267996252</v>
      </c>
      <c r="E3">
        <f t="shared" ref="E3:E13" si="0">D3/SQRT(3)</f>
        <v>53.577429635710033</v>
      </c>
    </row>
    <row r="4" spans="1:5" x14ac:dyDescent="0.45">
      <c r="A4">
        <v>2</v>
      </c>
      <c r="B4">
        <v>3</v>
      </c>
      <c r="C4">
        <v>162.15476988253417</v>
      </c>
      <c r="D4">
        <v>51.884975053414799</v>
      </c>
      <c r="E4">
        <f t="shared" si="0"/>
        <v>29.955804313986054</v>
      </c>
    </row>
    <row r="5" spans="1:5" x14ac:dyDescent="0.45">
      <c r="A5">
        <v>3</v>
      </c>
      <c r="B5">
        <v>3</v>
      </c>
      <c r="C5">
        <v>233.8010783747352</v>
      </c>
      <c r="D5">
        <v>105.59979884395884</v>
      </c>
      <c r="E5">
        <f t="shared" si="0"/>
        <v>60.968072288929967</v>
      </c>
    </row>
    <row r="6" spans="1:5" x14ac:dyDescent="0.45">
      <c r="A6">
        <v>4</v>
      </c>
      <c r="B6">
        <v>3</v>
      </c>
      <c r="C6">
        <v>250.53853264009243</v>
      </c>
      <c r="D6">
        <v>129.88671525478395</v>
      </c>
      <c r="E6">
        <f t="shared" si="0"/>
        <v>74.990130016505788</v>
      </c>
    </row>
    <row r="7" spans="1:5" x14ac:dyDescent="0.45">
      <c r="A7">
        <v>5</v>
      </c>
      <c r="B7">
        <v>3</v>
      </c>
      <c r="C7">
        <v>183.11057192374349</v>
      </c>
      <c r="D7">
        <v>76.960368117820082</v>
      </c>
      <c r="E7">
        <f t="shared" si="0"/>
        <v>44.433089249756122</v>
      </c>
    </row>
    <row r="8" spans="1:5" x14ac:dyDescent="0.45">
      <c r="A8">
        <v>6</v>
      </c>
      <c r="B8">
        <v>3</v>
      </c>
      <c r="C8">
        <v>129.18710571923742</v>
      </c>
      <c r="D8">
        <v>23.58257941191215</v>
      </c>
      <c r="E8">
        <f t="shared" si="0"/>
        <v>13.615408571653207</v>
      </c>
    </row>
    <row r="9" spans="1:5" x14ac:dyDescent="0.45">
      <c r="A9">
        <v>7</v>
      </c>
      <c r="B9">
        <v>3</v>
      </c>
      <c r="C9">
        <v>89.232563065665317</v>
      </c>
      <c r="D9">
        <v>20.092943249958122</v>
      </c>
      <c r="E9">
        <f t="shared" si="0"/>
        <v>11.600666194175195</v>
      </c>
    </row>
    <row r="10" spans="1:5" x14ac:dyDescent="0.45">
      <c r="A10">
        <v>8</v>
      </c>
      <c r="B10">
        <v>3</v>
      </c>
      <c r="C10">
        <v>45.778833044482958</v>
      </c>
      <c r="D10">
        <v>5.5645169299435988</v>
      </c>
      <c r="E10">
        <f t="shared" si="0"/>
        <v>3.2126753474131671</v>
      </c>
    </row>
    <row r="11" spans="1:5" x14ac:dyDescent="0.45">
      <c r="A11">
        <v>9</v>
      </c>
      <c r="B11">
        <v>3</v>
      </c>
      <c r="C11">
        <v>19.873995763527827</v>
      </c>
      <c r="D11">
        <v>4.6903547709094058</v>
      </c>
      <c r="E11">
        <f t="shared" si="0"/>
        <v>2.7079775895793912</v>
      </c>
    </row>
    <row r="12" spans="1:5" x14ac:dyDescent="0.45">
      <c r="A12">
        <v>10</v>
      </c>
      <c r="B12">
        <v>3</v>
      </c>
      <c r="C12">
        <v>8.3661759676487577</v>
      </c>
      <c r="D12">
        <v>2.0251170897061836</v>
      </c>
      <c r="E12">
        <f t="shared" si="0"/>
        <v>1.1692018968823767</v>
      </c>
    </row>
    <row r="13" spans="1:5" x14ac:dyDescent="0.45">
      <c r="A13">
        <v>11</v>
      </c>
      <c r="B13">
        <v>3</v>
      </c>
      <c r="C13">
        <v>6.4060061621413444</v>
      </c>
      <c r="D13">
        <v>2.5179093820359535</v>
      </c>
      <c r="E13">
        <f t="shared" si="0"/>
        <v>1.4537156595135421</v>
      </c>
    </row>
    <row r="14" spans="1:5" x14ac:dyDescent="0.45">
      <c r="C14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7467-B817-4C7E-B01E-875A81A6CA1D}">
  <dimension ref="A1:E16"/>
  <sheetViews>
    <sheetView workbookViewId="0">
      <selection activeCell="D19" sqref="D19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99.8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725.60573849412674</v>
      </c>
      <c r="D3">
        <v>193.45887135389975</v>
      </c>
      <c r="E3">
        <f t="shared" ref="E3:E16" si="0">D3/SQRT(3)</f>
        <v>111.69353145329521</v>
      </c>
    </row>
    <row r="4" spans="1:5" x14ac:dyDescent="0.45">
      <c r="A4">
        <v>2</v>
      </c>
      <c r="B4">
        <v>3</v>
      </c>
      <c r="C4">
        <v>731.27040246485649</v>
      </c>
      <c r="D4">
        <v>368.79308795367524</v>
      </c>
      <c r="E4">
        <f t="shared" si="0"/>
        <v>212.92278860532775</v>
      </c>
    </row>
    <row r="5" spans="1:5" x14ac:dyDescent="0.45">
      <c r="A5">
        <v>3</v>
      </c>
      <c r="B5">
        <v>3</v>
      </c>
      <c r="C5">
        <v>1024.6360870402464</v>
      </c>
      <c r="D5">
        <v>503.07621102357029</v>
      </c>
      <c r="E5">
        <f t="shared" si="0"/>
        <v>290.45118585735531</v>
      </c>
    </row>
    <row r="6" spans="1:5" x14ac:dyDescent="0.45">
      <c r="A6">
        <v>4</v>
      </c>
      <c r="B6">
        <v>3</v>
      </c>
      <c r="C6">
        <v>1486.1234618029764</v>
      </c>
      <c r="D6">
        <v>693.03589730043484</v>
      </c>
      <c r="E6">
        <f t="shared" si="0"/>
        <v>400.12446186447994</v>
      </c>
    </row>
    <row r="7" spans="1:5" x14ac:dyDescent="0.45">
      <c r="A7">
        <v>5</v>
      </c>
      <c r="B7">
        <v>3</v>
      </c>
      <c r="C7">
        <v>2130.3312150972465</v>
      </c>
      <c r="D7">
        <v>506.52498299498956</v>
      </c>
      <c r="E7">
        <f t="shared" si="0"/>
        <v>292.44233528342784</v>
      </c>
    </row>
    <row r="8" spans="1:5" x14ac:dyDescent="0.45">
      <c r="A8">
        <v>6</v>
      </c>
      <c r="B8">
        <v>3</v>
      </c>
      <c r="C8">
        <v>2794.9158097438863</v>
      </c>
      <c r="D8">
        <v>519.41353644454807</v>
      </c>
      <c r="E8">
        <f t="shared" si="0"/>
        <v>299.88354508699535</v>
      </c>
    </row>
    <row r="9" spans="1:5" x14ac:dyDescent="0.45">
      <c r="A9">
        <v>7</v>
      </c>
      <c r="B9">
        <v>3</v>
      </c>
      <c r="C9">
        <v>2814.2249181590601</v>
      </c>
      <c r="D9">
        <v>458.05588786536356</v>
      </c>
      <c r="E9">
        <f t="shared" si="0"/>
        <v>264.45869016296069</v>
      </c>
    </row>
    <row r="10" spans="1:5" x14ac:dyDescent="0.45">
      <c r="A10">
        <v>8</v>
      </c>
      <c r="B10">
        <v>3</v>
      </c>
      <c r="C10">
        <v>868.22603504717881</v>
      </c>
      <c r="D10">
        <v>301.01779468068099</v>
      </c>
      <c r="E10">
        <f t="shared" si="0"/>
        <v>173.79270478975869</v>
      </c>
    </row>
    <row r="11" spans="1:5" x14ac:dyDescent="0.45">
      <c r="A11">
        <v>9</v>
      </c>
      <c r="B11">
        <v>3</v>
      </c>
      <c r="C11">
        <v>1286.0938956287309</v>
      </c>
      <c r="D11">
        <v>273.48645752925108</v>
      </c>
      <c r="E11">
        <f t="shared" si="0"/>
        <v>157.89747987423027</v>
      </c>
    </row>
    <row r="12" spans="1:5" x14ac:dyDescent="0.45">
      <c r="A12">
        <v>10</v>
      </c>
      <c r="B12">
        <v>3</v>
      </c>
      <c r="C12">
        <v>2192.8662430194495</v>
      </c>
      <c r="D12">
        <v>770.70310682307058</v>
      </c>
      <c r="E12">
        <f t="shared" si="0"/>
        <v>444.96564618958075</v>
      </c>
    </row>
    <row r="13" spans="1:5" x14ac:dyDescent="0.45">
      <c r="A13">
        <v>11</v>
      </c>
      <c r="B13">
        <v>3</v>
      </c>
      <c r="C13">
        <v>2247.1252840362026</v>
      </c>
      <c r="D13">
        <v>460.16038926445168</v>
      </c>
      <c r="E13">
        <f t="shared" si="0"/>
        <v>265.6737246122342</v>
      </c>
    </row>
    <row r="14" spans="1:5" x14ac:dyDescent="0.45">
      <c r="A14">
        <v>12</v>
      </c>
      <c r="B14">
        <v>3</v>
      </c>
      <c r="C14">
        <v>2921.2880724051611</v>
      </c>
      <c r="D14">
        <v>348.19568169605247</v>
      </c>
      <c r="E14">
        <f t="shared" si="0"/>
        <v>201.03087055788114</v>
      </c>
    </row>
    <row r="15" spans="1:5" x14ac:dyDescent="0.45">
      <c r="A15">
        <v>13</v>
      </c>
      <c r="B15">
        <v>3</v>
      </c>
      <c r="C15">
        <v>3215.3749470440976</v>
      </c>
      <c r="D15">
        <v>326.9451237355749</v>
      </c>
      <c r="E15">
        <f t="shared" si="0"/>
        <v>188.76185519896967</v>
      </c>
    </row>
    <row r="16" spans="1:5" x14ac:dyDescent="0.45">
      <c r="A16">
        <v>14</v>
      </c>
      <c r="B16">
        <v>3</v>
      </c>
      <c r="C16">
        <v>3017.9614481032154</v>
      </c>
      <c r="D16">
        <v>282.46329428607987</v>
      </c>
      <c r="E16">
        <f t="shared" si="0"/>
        <v>163.08025899225672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FD97-2E54-4433-AAEB-90D048749DB7}">
  <dimension ref="A1:E14"/>
  <sheetViews>
    <sheetView workbookViewId="0">
      <selection activeCell="D52" sqref="D5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99.8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512.78657423454649</v>
      </c>
      <c r="D3">
        <v>226.84811170085467</v>
      </c>
      <c r="E3">
        <f t="shared" ref="E3:E13" si="0">D3/SQRT(3)</f>
        <v>130.97081835564674</v>
      </c>
    </row>
    <row r="4" spans="1:5" x14ac:dyDescent="0.45">
      <c r="A4">
        <v>2</v>
      </c>
      <c r="B4">
        <v>3</v>
      </c>
      <c r="C4">
        <v>470.36187175043324</v>
      </c>
      <c r="D4">
        <v>96.136824961865429</v>
      </c>
      <c r="E4">
        <f t="shared" si="0"/>
        <v>55.504621770768942</v>
      </c>
    </row>
    <row r="5" spans="1:5" x14ac:dyDescent="0.45">
      <c r="A5">
        <v>3</v>
      </c>
      <c r="B5">
        <v>3</v>
      </c>
      <c r="C5">
        <v>539.62464856537656</v>
      </c>
      <c r="D5">
        <v>162.46037891667726</v>
      </c>
      <c r="E5">
        <f t="shared" si="0"/>
        <v>93.796543500192229</v>
      </c>
    </row>
    <row r="6" spans="1:5" x14ac:dyDescent="0.45">
      <c r="A6">
        <v>4</v>
      </c>
      <c r="B6">
        <v>3</v>
      </c>
      <c r="C6">
        <v>450.96896591565564</v>
      </c>
      <c r="D6">
        <v>135.40516172412819</v>
      </c>
      <c r="E6">
        <f t="shared" si="0"/>
        <v>78.176206571090233</v>
      </c>
    </row>
    <row r="7" spans="1:5" x14ac:dyDescent="0.45">
      <c r="A7">
        <v>5</v>
      </c>
      <c r="B7">
        <v>3</v>
      </c>
      <c r="C7">
        <v>432.48033891777396</v>
      </c>
      <c r="D7">
        <v>110.311969131467</v>
      </c>
      <c r="E7">
        <f t="shared" si="0"/>
        <v>63.688645072890161</v>
      </c>
    </row>
    <row r="8" spans="1:5" x14ac:dyDescent="0.45">
      <c r="A8">
        <v>6</v>
      </c>
      <c r="B8">
        <v>3</v>
      </c>
      <c r="C8">
        <v>284.04706335451573</v>
      </c>
      <c r="D8">
        <v>54.877336278120978</v>
      </c>
      <c r="E8">
        <f t="shared" si="0"/>
        <v>31.683444872582765</v>
      </c>
    </row>
    <row r="9" spans="1:5" x14ac:dyDescent="0.45">
      <c r="A9">
        <v>7</v>
      </c>
      <c r="B9">
        <v>3</v>
      </c>
      <c r="C9">
        <v>142.02107452339689</v>
      </c>
      <c r="D9">
        <v>63.579474959289975</v>
      </c>
      <c r="E9">
        <f t="shared" si="0"/>
        <v>36.707626982681141</v>
      </c>
    </row>
    <row r="10" spans="1:5" x14ac:dyDescent="0.45">
      <c r="A10">
        <v>8</v>
      </c>
      <c r="B10">
        <v>3</v>
      </c>
      <c r="C10">
        <v>60.804602349316383</v>
      </c>
      <c r="D10">
        <v>20.321977964018927</v>
      </c>
      <c r="E10">
        <f t="shared" si="0"/>
        <v>11.732899447991972</v>
      </c>
    </row>
    <row r="11" spans="1:5" x14ac:dyDescent="0.45">
      <c r="A11">
        <v>9</v>
      </c>
      <c r="B11">
        <v>3</v>
      </c>
      <c r="C11">
        <v>47.643665373717361</v>
      </c>
      <c r="D11">
        <v>18.474056549328601</v>
      </c>
      <c r="E11">
        <f t="shared" si="0"/>
        <v>10.666001521779238</v>
      </c>
    </row>
    <row r="12" spans="1:5" x14ac:dyDescent="0.45">
      <c r="A12">
        <v>10</v>
      </c>
      <c r="B12">
        <v>3</v>
      </c>
      <c r="C12">
        <v>21.49229732331985</v>
      </c>
      <c r="D12">
        <v>2.8235361272330475</v>
      </c>
      <c r="E12">
        <f t="shared" si="0"/>
        <v>1.6301693431246336</v>
      </c>
    </row>
    <row r="13" spans="1:5" x14ac:dyDescent="0.45">
      <c r="A13">
        <v>11</v>
      </c>
      <c r="B13">
        <v>3</v>
      </c>
      <c r="C13">
        <v>11.651857115347582</v>
      </c>
      <c r="D13">
        <v>2.8248302500803804</v>
      </c>
      <c r="E13">
        <f t="shared" si="0"/>
        <v>1.6309165052989056</v>
      </c>
    </row>
    <row r="14" spans="1:5" x14ac:dyDescent="0.45">
      <c r="C14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884B-BCF7-4802-99D7-C85398262FD7}">
  <dimension ref="A1:E37"/>
  <sheetViews>
    <sheetView workbookViewId="0">
      <selection activeCell="D45" sqref="D45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25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159.32399999999998</v>
      </c>
      <c r="D3">
        <v>40.280602561530827</v>
      </c>
      <c r="E3">
        <f t="shared" ref="E3:E14" si="0">D3/SQRT(3)</f>
        <v>23.256016732020154</v>
      </c>
    </row>
    <row r="4" spans="1:5" x14ac:dyDescent="0.45">
      <c r="A4">
        <v>2</v>
      </c>
      <c r="B4">
        <v>3</v>
      </c>
      <c r="C4">
        <v>302.70589999999999</v>
      </c>
      <c r="D4">
        <v>129.49407216174018</v>
      </c>
      <c r="E4">
        <f t="shared" si="0"/>
        <v>74.763437421041516</v>
      </c>
    </row>
    <row r="5" spans="1:5" x14ac:dyDescent="0.45">
      <c r="A5">
        <v>3</v>
      </c>
      <c r="B5">
        <v>3</v>
      </c>
      <c r="C5">
        <v>478.82043333333337</v>
      </c>
      <c r="D5">
        <v>199.07399546084187</v>
      </c>
      <c r="E5">
        <f t="shared" si="0"/>
        <v>114.93542486797139</v>
      </c>
    </row>
    <row r="6" spans="1:5" x14ac:dyDescent="0.45">
      <c r="A6">
        <v>4</v>
      </c>
      <c r="B6">
        <v>3</v>
      </c>
      <c r="C6">
        <v>1020.9616333333333</v>
      </c>
      <c r="D6">
        <v>441.79788349142541</v>
      </c>
      <c r="E6">
        <f t="shared" si="0"/>
        <v>255.0721269611814</v>
      </c>
    </row>
    <row r="7" spans="1:5" x14ac:dyDescent="0.45">
      <c r="A7">
        <v>5</v>
      </c>
      <c r="B7">
        <v>3</v>
      </c>
      <c r="C7">
        <v>1080.4394333333332</v>
      </c>
      <c r="D7">
        <v>441.43739069571745</v>
      </c>
      <c r="E7">
        <f t="shared" si="0"/>
        <v>254.86399634853848</v>
      </c>
    </row>
    <row r="8" spans="1:5" x14ac:dyDescent="0.45">
      <c r="A8">
        <v>6</v>
      </c>
      <c r="B8">
        <v>3</v>
      </c>
      <c r="C8">
        <v>2362.1806666666666</v>
      </c>
      <c r="D8">
        <v>768.56995324455227</v>
      </c>
      <c r="E8">
        <f t="shared" si="0"/>
        <v>443.73406939680035</v>
      </c>
    </row>
    <row r="9" spans="1:5" x14ac:dyDescent="0.45">
      <c r="A9">
        <v>7</v>
      </c>
      <c r="B9">
        <v>3</v>
      </c>
      <c r="C9">
        <v>2465.7023333333332</v>
      </c>
      <c r="D9">
        <v>335.09152993522855</v>
      </c>
      <c r="E9">
        <f t="shared" si="0"/>
        <v>193.46518501126775</v>
      </c>
    </row>
    <row r="10" spans="1:5" x14ac:dyDescent="0.45">
      <c r="A10">
        <v>8</v>
      </c>
      <c r="B10">
        <v>3</v>
      </c>
      <c r="C10">
        <v>1564.7923333333335</v>
      </c>
      <c r="D10">
        <v>634.31483065141481</v>
      </c>
      <c r="E10">
        <f t="shared" si="0"/>
        <v>366.22183822756625</v>
      </c>
    </row>
    <row r="11" spans="1:5" x14ac:dyDescent="0.45">
      <c r="A11">
        <v>9</v>
      </c>
      <c r="B11">
        <v>3</v>
      </c>
      <c r="C11">
        <v>1836.1366666666665</v>
      </c>
      <c r="D11">
        <v>313.7205150963706</v>
      </c>
      <c r="E11">
        <f t="shared" si="0"/>
        <v>181.12662384119764</v>
      </c>
    </row>
    <row r="12" spans="1:5" x14ac:dyDescent="0.45">
      <c r="A12">
        <v>10</v>
      </c>
      <c r="B12">
        <v>3</v>
      </c>
      <c r="C12">
        <v>2668.3719999999998</v>
      </c>
      <c r="D12">
        <v>710.71626155098068</v>
      </c>
      <c r="E12">
        <f t="shared" si="0"/>
        <v>410.3322249239032</v>
      </c>
    </row>
    <row r="13" spans="1:5" x14ac:dyDescent="0.45">
      <c r="A13">
        <v>11</v>
      </c>
      <c r="B13">
        <v>3</v>
      </c>
      <c r="C13">
        <v>1444.3149999999998</v>
      </c>
      <c r="D13">
        <v>301.69085844122134</v>
      </c>
      <c r="E13">
        <f t="shared" si="0"/>
        <v>174.18129833308842</v>
      </c>
    </row>
    <row r="14" spans="1:5" x14ac:dyDescent="0.45">
      <c r="A14">
        <v>12</v>
      </c>
      <c r="B14">
        <v>3</v>
      </c>
      <c r="C14">
        <v>336.02641</v>
      </c>
      <c r="D14">
        <v>340.55563538000126</v>
      </c>
      <c r="E14">
        <f t="shared" si="0"/>
        <v>196.61988776068779</v>
      </c>
    </row>
    <row r="25" spans="3:5" x14ac:dyDescent="0.45">
      <c r="C25" s="3"/>
      <c r="D25" s="3"/>
      <c r="E25" s="3"/>
    </row>
    <row r="26" spans="3:5" x14ac:dyDescent="0.45">
      <c r="C26" s="3"/>
      <c r="D26" s="3"/>
      <c r="E26" s="3"/>
    </row>
    <row r="27" spans="3:5" x14ac:dyDescent="0.45">
      <c r="C27" s="3"/>
      <c r="D27" s="3"/>
      <c r="E27" s="3"/>
    </row>
    <row r="28" spans="3:5" x14ac:dyDescent="0.45">
      <c r="C28" s="3"/>
      <c r="D28" s="3"/>
      <c r="E28" s="3"/>
    </row>
    <row r="29" spans="3:5" x14ac:dyDescent="0.45">
      <c r="C29" s="3"/>
      <c r="D29" s="3"/>
      <c r="E29" s="3"/>
    </row>
    <row r="30" spans="3:5" x14ac:dyDescent="0.45">
      <c r="C30" s="3"/>
      <c r="D30" s="3"/>
      <c r="E30" s="3"/>
    </row>
    <row r="31" spans="3:5" x14ac:dyDescent="0.45">
      <c r="C31" s="3"/>
      <c r="D31" s="3"/>
      <c r="E31" s="3"/>
    </row>
    <row r="32" spans="3:5" x14ac:dyDescent="0.45">
      <c r="C32" s="3"/>
      <c r="D32" s="3"/>
      <c r="E32" s="3"/>
    </row>
    <row r="33" spans="3:5" x14ac:dyDescent="0.45">
      <c r="C33" s="3"/>
      <c r="D33" s="3"/>
      <c r="E33" s="3"/>
    </row>
    <row r="34" spans="3:5" x14ac:dyDescent="0.45">
      <c r="C34" s="3"/>
      <c r="D34" s="3"/>
      <c r="E34" s="3"/>
    </row>
    <row r="35" spans="3:5" x14ac:dyDescent="0.45">
      <c r="C35" s="3"/>
      <c r="D35" s="3"/>
      <c r="E35" s="3"/>
    </row>
    <row r="36" spans="3:5" x14ac:dyDescent="0.45">
      <c r="C36" s="3"/>
      <c r="D36" s="3"/>
      <c r="E36" s="3"/>
    </row>
    <row r="37" spans="3:5" x14ac:dyDescent="0.45">
      <c r="C37" s="3"/>
      <c r="D37" s="3"/>
      <c r="E37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ECC2-4DA0-4F13-A1BB-07AD95FAC76A}">
  <dimension ref="A1:E37"/>
  <sheetViews>
    <sheetView workbookViewId="0">
      <selection activeCell="I39" sqref="B22:I39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75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339.50326666666666</v>
      </c>
      <c r="D3">
        <v>71.863690353427685</v>
      </c>
      <c r="E3">
        <f t="shared" ref="E3:E14" si="0">D3/SQRT(3)</f>
        <v>41.49052097051139</v>
      </c>
    </row>
    <row r="4" spans="1:5" x14ac:dyDescent="0.45">
      <c r="A4">
        <v>2</v>
      </c>
      <c r="B4">
        <v>3</v>
      </c>
      <c r="C4">
        <v>453.17133333333328</v>
      </c>
      <c r="D4">
        <v>317.44338035223444</v>
      </c>
      <c r="E4">
        <f t="shared" si="0"/>
        <v>183.27602109882733</v>
      </c>
    </row>
    <row r="5" spans="1:5" x14ac:dyDescent="0.45">
      <c r="A5">
        <v>3</v>
      </c>
      <c r="B5">
        <v>3</v>
      </c>
      <c r="C5">
        <v>873.42610000000002</v>
      </c>
      <c r="D5">
        <v>377.28194212528939</v>
      </c>
      <c r="E5">
        <f t="shared" si="0"/>
        <v>217.82383084642066</v>
      </c>
    </row>
    <row r="6" spans="1:5" x14ac:dyDescent="0.45">
      <c r="A6">
        <v>4</v>
      </c>
      <c r="B6">
        <v>3</v>
      </c>
      <c r="C6">
        <v>669.6772666666667</v>
      </c>
      <c r="D6">
        <v>407.5424913650271</v>
      </c>
      <c r="E6">
        <f t="shared" si="0"/>
        <v>235.29476709580914</v>
      </c>
    </row>
    <row r="7" spans="1:5" x14ac:dyDescent="0.45">
      <c r="A7">
        <v>5</v>
      </c>
      <c r="B7">
        <v>3</v>
      </c>
      <c r="C7">
        <v>539.02</v>
      </c>
      <c r="D7">
        <v>194.17127520467596</v>
      </c>
      <c r="E7">
        <f t="shared" si="0"/>
        <v>112.10483800831258</v>
      </c>
    </row>
    <row r="8" spans="1:5" x14ac:dyDescent="0.45">
      <c r="A8">
        <v>6</v>
      </c>
      <c r="B8">
        <v>3</v>
      </c>
      <c r="C8">
        <v>216.1353</v>
      </c>
      <c r="D8">
        <v>51.104360994048335</v>
      </c>
      <c r="E8">
        <f t="shared" si="0"/>
        <v>29.505116576677619</v>
      </c>
    </row>
    <row r="9" spans="1:5" x14ac:dyDescent="0.45">
      <c r="A9">
        <v>7</v>
      </c>
      <c r="B9">
        <v>3</v>
      </c>
      <c r="C9">
        <v>190.2848333333333</v>
      </c>
      <c r="D9">
        <v>105.65893663090382</v>
      </c>
      <c r="E9">
        <f t="shared" si="0"/>
        <v>61.002215506141937</v>
      </c>
    </row>
    <row r="10" spans="1:5" x14ac:dyDescent="0.45">
      <c r="A10">
        <v>8</v>
      </c>
      <c r="B10">
        <v>3</v>
      </c>
      <c r="C10">
        <v>75.988839999999996</v>
      </c>
      <c r="D10">
        <v>39.850164747508877</v>
      </c>
      <c r="E10">
        <f t="shared" si="0"/>
        <v>23.007503344225185</v>
      </c>
    </row>
    <row r="11" spans="1:5" x14ac:dyDescent="0.45">
      <c r="A11">
        <v>9</v>
      </c>
      <c r="B11">
        <v>3</v>
      </c>
      <c r="C11">
        <v>61.676063333333332</v>
      </c>
      <c r="D11">
        <v>33.399658290021996</v>
      </c>
      <c r="E11">
        <f t="shared" si="0"/>
        <v>19.283301704585718</v>
      </c>
    </row>
    <row r="12" spans="1:5" x14ac:dyDescent="0.45">
      <c r="A12">
        <v>10</v>
      </c>
      <c r="B12">
        <v>3</v>
      </c>
      <c r="C12">
        <v>31.275949999999998</v>
      </c>
      <c r="D12">
        <v>11.678573996152114</v>
      </c>
      <c r="E12">
        <f t="shared" si="0"/>
        <v>6.7426278404293871</v>
      </c>
    </row>
    <row r="13" spans="1:5" x14ac:dyDescent="0.45">
      <c r="A13">
        <v>11</v>
      </c>
      <c r="B13">
        <v>3</v>
      </c>
      <c r="C13">
        <v>15.114258</v>
      </c>
      <c r="D13">
        <v>7.9346019265828387</v>
      </c>
      <c r="E13">
        <f t="shared" si="0"/>
        <v>4.5810445582251251</v>
      </c>
    </row>
    <row r="14" spans="1:5" x14ac:dyDescent="0.45">
      <c r="A14">
        <v>12</v>
      </c>
      <c r="B14">
        <v>3</v>
      </c>
      <c r="C14">
        <v>99.010809999999992</v>
      </c>
      <c r="D14">
        <v>66.18762750916747</v>
      </c>
      <c r="E14">
        <f t="shared" si="0"/>
        <v>38.213444559440518</v>
      </c>
    </row>
    <row r="25" spans="3:5" x14ac:dyDescent="0.45">
      <c r="C25" s="3"/>
      <c r="D25" s="3"/>
      <c r="E25" s="3"/>
    </row>
    <row r="26" spans="3:5" x14ac:dyDescent="0.45">
      <c r="C26" s="3"/>
      <c r="D26" s="3"/>
      <c r="E26" s="3"/>
    </row>
    <row r="27" spans="3:5" x14ac:dyDescent="0.45">
      <c r="C27" s="3"/>
      <c r="D27" s="3"/>
      <c r="E27" s="3"/>
    </row>
    <row r="28" spans="3:5" x14ac:dyDescent="0.45">
      <c r="C28" s="3"/>
      <c r="D28" s="3"/>
      <c r="E28" s="3"/>
    </row>
    <row r="29" spans="3:5" x14ac:dyDescent="0.45">
      <c r="C29" s="3"/>
      <c r="D29" s="3"/>
      <c r="E29" s="3"/>
    </row>
    <row r="30" spans="3:5" x14ac:dyDescent="0.45">
      <c r="C30" s="3"/>
      <c r="D30" s="3"/>
      <c r="E30" s="3"/>
    </row>
    <row r="31" spans="3:5" x14ac:dyDescent="0.45">
      <c r="C31" s="3"/>
      <c r="D31" s="3"/>
      <c r="E31" s="3"/>
    </row>
    <row r="32" spans="3:5" x14ac:dyDescent="0.45">
      <c r="C32" s="3"/>
      <c r="D32" s="3"/>
      <c r="E32" s="3"/>
    </row>
    <row r="33" spans="3:5" x14ac:dyDescent="0.45">
      <c r="C33" s="3"/>
      <c r="D33" s="3"/>
      <c r="E33" s="3"/>
    </row>
    <row r="34" spans="3:5" x14ac:dyDescent="0.45">
      <c r="C34" s="3"/>
      <c r="D34" s="3"/>
      <c r="E34" s="3"/>
    </row>
    <row r="35" spans="3:5" x14ac:dyDescent="0.45">
      <c r="C35" s="3"/>
      <c r="D35" s="3"/>
      <c r="E35" s="3"/>
    </row>
    <row r="36" spans="3:5" x14ac:dyDescent="0.45">
      <c r="C36" s="3"/>
      <c r="D36" s="3"/>
      <c r="E36" s="3"/>
    </row>
    <row r="37" spans="3:5" x14ac:dyDescent="0.45">
      <c r="C37" s="3"/>
      <c r="D37" s="3"/>
      <c r="E37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486A-95B1-40E5-BBF5-5C69100B0DD0}">
  <dimension ref="A1:E37"/>
  <sheetViews>
    <sheetView workbookViewId="0">
      <selection activeCell="J40" sqref="B23:J40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50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245.29376666666667</v>
      </c>
      <c r="D3">
        <v>15.245225934807689</v>
      </c>
      <c r="E3">
        <f t="shared" ref="E3:E14" si="0">D3/SQRT(3)</f>
        <v>8.8018352973178828</v>
      </c>
    </row>
    <row r="4" spans="1:5" x14ac:dyDescent="0.45">
      <c r="A4">
        <v>2</v>
      </c>
      <c r="B4">
        <v>3</v>
      </c>
      <c r="C4">
        <v>345.35373333333337</v>
      </c>
      <c r="D4">
        <v>48.96146861832527</v>
      </c>
      <c r="E4">
        <f t="shared" si="0"/>
        <v>28.26791708670951</v>
      </c>
    </row>
    <row r="5" spans="1:5" x14ac:dyDescent="0.45">
      <c r="A5">
        <v>3</v>
      </c>
      <c r="B5">
        <v>3</v>
      </c>
      <c r="E5">
        <f t="shared" si="0"/>
        <v>0</v>
      </c>
    </row>
    <row r="6" spans="1:5" x14ac:dyDescent="0.45">
      <c r="A6">
        <v>4</v>
      </c>
      <c r="B6">
        <v>3</v>
      </c>
      <c r="C6">
        <v>1682.798</v>
      </c>
      <c r="D6">
        <v>356.00676973759778</v>
      </c>
      <c r="E6">
        <f t="shared" si="0"/>
        <v>205.5406043413312</v>
      </c>
    </row>
    <row r="7" spans="1:5" x14ac:dyDescent="0.45">
      <c r="A7">
        <v>5</v>
      </c>
      <c r="B7">
        <v>3</v>
      </c>
      <c r="C7">
        <v>2399.4186666666665</v>
      </c>
      <c r="D7">
        <v>181.48842233137995</v>
      </c>
      <c r="E7">
        <f t="shared" si="0"/>
        <v>104.78238948782271</v>
      </c>
    </row>
    <row r="8" spans="1:5" x14ac:dyDescent="0.45">
      <c r="A8">
        <v>6</v>
      </c>
      <c r="B8">
        <v>3</v>
      </c>
      <c r="C8">
        <v>2797.7276666666671</v>
      </c>
      <c r="D8">
        <v>379.96731587378679</v>
      </c>
      <c r="E8">
        <f t="shared" si="0"/>
        <v>219.37423210299039</v>
      </c>
    </row>
    <row r="9" spans="1:5" x14ac:dyDescent="0.45">
      <c r="A9">
        <v>7</v>
      </c>
      <c r="B9">
        <v>3</v>
      </c>
      <c r="C9">
        <v>3369.9743333333336</v>
      </c>
      <c r="D9">
        <v>352.53650675119212</v>
      </c>
      <c r="E9">
        <f t="shared" si="0"/>
        <v>203.5370470719711</v>
      </c>
    </row>
    <row r="10" spans="1:5" x14ac:dyDescent="0.45">
      <c r="A10">
        <v>8</v>
      </c>
      <c r="B10">
        <v>3</v>
      </c>
      <c r="C10">
        <v>2840.8153333333335</v>
      </c>
      <c r="D10">
        <v>534.62744124234143</v>
      </c>
      <c r="E10">
        <f t="shared" si="0"/>
        <v>308.6672971174267</v>
      </c>
    </row>
    <row r="11" spans="1:5" x14ac:dyDescent="0.45">
      <c r="A11">
        <v>9</v>
      </c>
      <c r="B11">
        <v>3</v>
      </c>
      <c r="C11">
        <v>3253.8076666666661</v>
      </c>
      <c r="D11">
        <v>481.52636868019584</v>
      </c>
      <c r="E11">
        <f t="shared" si="0"/>
        <v>278.00937857941409</v>
      </c>
    </row>
    <row r="12" spans="1:5" x14ac:dyDescent="0.45">
      <c r="A12">
        <v>10</v>
      </c>
      <c r="B12">
        <v>3</v>
      </c>
      <c r="C12">
        <v>3831.6583333333333</v>
      </c>
      <c r="D12">
        <v>364.21954104678838</v>
      </c>
      <c r="E12">
        <f t="shared" si="0"/>
        <v>210.28225006748522</v>
      </c>
    </row>
    <row r="13" spans="1:5" x14ac:dyDescent="0.45">
      <c r="A13">
        <v>11</v>
      </c>
      <c r="B13">
        <v>3</v>
      </c>
      <c r="C13">
        <v>3351.7620000000002</v>
      </c>
      <c r="D13">
        <v>340.33916219559575</v>
      </c>
      <c r="E13">
        <f t="shared" si="0"/>
        <v>196.49490690939891</v>
      </c>
    </row>
    <row r="14" spans="1:5" x14ac:dyDescent="0.45">
      <c r="A14">
        <v>12</v>
      </c>
      <c r="B14">
        <v>3</v>
      </c>
      <c r="C14">
        <v>2838.9349999999999</v>
      </c>
      <c r="D14">
        <v>476.26241813521079</v>
      </c>
      <c r="E14">
        <f t="shared" si="0"/>
        <v>274.97023531526605</v>
      </c>
    </row>
    <row r="25" spans="3:5" x14ac:dyDescent="0.45">
      <c r="C25" s="3"/>
      <c r="D25" s="3"/>
      <c r="E25" s="3"/>
    </row>
    <row r="26" spans="3:5" x14ac:dyDescent="0.45">
      <c r="C26" s="3"/>
      <c r="D26" s="3"/>
      <c r="E26" s="3"/>
    </row>
    <row r="27" spans="3:5" x14ac:dyDescent="0.45">
      <c r="C27" s="3"/>
      <c r="D27" s="3"/>
      <c r="E27" s="3"/>
    </row>
    <row r="28" spans="3:5" x14ac:dyDescent="0.45">
      <c r="C28" s="3"/>
      <c r="D28" s="3"/>
      <c r="E28" s="3"/>
    </row>
    <row r="29" spans="3:5" x14ac:dyDescent="0.45">
      <c r="C29" s="3"/>
      <c r="D29" s="3"/>
      <c r="E29" s="3"/>
    </row>
    <row r="30" spans="3:5" x14ac:dyDescent="0.45">
      <c r="C30" s="3"/>
      <c r="D30" s="3"/>
      <c r="E30" s="3"/>
    </row>
    <row r="31" spans="3:5" x14ac:dyDescent="0.45">
      <c r="C31" s="3"/>
      <c r="D31" s="3"/>
      <c r="E31" s="3"/>
    </row>
    <row r="32" spans="3:5" x14ac:dyDescent="0.45">
      <c r="C32" s="3"/>
      <c r="D32" s="3"/>
      <c r="E32" s="3"/>
    </row>
    <row r="33" spans="3:5" x14ac:dyDescent="0.45">
      <c r="C33" s="3"/>
      <c r="D33" s="3"/>
      <c r="E33" s="3"/>
    </row>
    <row r="34" spans="3:5" x14ac:dyDescent="0.45">
      <c r="C34" s="3"/>
      <c r="D34" s="3"/>
      <c r="E34" s="3"/>
    </row>
    <row r="35" spans="3:5" x14ac:dyDescent="0.45">
      <c r="C35" s="3"/>
      <c r="D35" s="3"/>
      <c r="E35" s="3"/>
    </row>
    <row r="36" spans="3:5" x14ac:dyDescent="0.45">
      <c r="C36" s="3"/>
      <c r="D36" s="3"/>
      <c r="E36" s="3"/>
    </row>
    <row r="37" spans="3:5" x14ac:dyDescent="0.45">
      <c r="C37" s="3"/>
      <c r="D37" s="3"/>
      <c r="E37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22B1-6B35-4F67-9EC2-86414321C740}">
  <dimension ref="A1:E37"/>
  <sheetViews>
    <sheetView workbookViewId="0">
      <selection activeCell="J40" sqref="B23:J40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50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175.43313333333333</v>
      </c>
      <c r="D3">
        <v>14.788814382611397</v>
      </c>
      <c r="E3">
        <f t="shared" ref="E3:E14" si="0">D3/SQRT(3)</f>
        <v>8.5383259647960994</v>
      </c>
    </row>
    <row r="4" spans="1:5" x14ac:dyDescent="0.45">
      <c r="A4">
        <v>2</v>
      </c>
      <c r="B4">
        <v>3</v>
      </c>
      <c r="C4">
        <v>240.72316666666666</v>
      </c>
      <c r="D4">
        <v>9.8895442293026399</v>
      </c>
      <c r="E4">
        <f t="shared" si="0"/>
        <v>5.7097310229505895</v>
      </c>
    </row>
    <row r="5" spans="1:5" x14ac:dyDescent="0.45">
      <c r="A5">
        <v>3</v>
      </c>
      <c r="B5">
        <v>3</v>
      </c>
      <c r="E5">
        <f t="shared" si="0"/>
        <v>0</v>
      </c>
    </row>
    <row r="6" spans="1:5" x14ac:dyDescent="0.45">
      <c r="A6">
        <v>4</v>
      </c>
      <c r="B6">
        <v>3</v>
      </c>
      <c r="C6">
        <v>442.72219999999999</v>
      </c>
      <c r="D6">
        <v>71.651489298617946</v>
      </c>
      <c r="E6">
        <f t="shared" si="0"/>
        <v>41.368006634394661</v>
      </c>
    </row>
    <row r="7" spans="1:5" x14ac:dyDescent="0.45">
      <c r="A7">
        <v>5</v>
      </c>
      <c r="B7">
        <v>3</v>
      </c>
      <c r="C7">
        <v>371.97223333333335</v>
      </c>
      <c r="D7">
        <v>21.236502009825742</v>
      </c>
      <c r="E7">
        <f t="shared" si="0"/>
        <v>12.260900152018921</v>
      </c>
    </row>
    <row r="8" spans="1:5" x14ac:dyDescent="0.45">
      <c r="A8">
        <v>6</v>
      </c>
      <c r="B8">
        <v>3</v>
      </c>
      <c r="C8">
        <v>200.91053333333335</v>
      </c>
      <c r="D8">
        <v>22.34483764302918</v>
      </c>
      <c r="E8">
        <f t="shared" si="0"/>
        <v>12.900798028201381</v>
      </c>
    </row>
    <row r="9" spans="1:5" x14ac:dyDescent="0.45">
      <c r="A9">
        <v>7</v>
      </c>
      <c r="B9">
        <v>3</v>
      </c>
      <c r="C9">
        <v>182.07213333333334</v>
      </c>
      <c r="D9">
        <v>27.920272436767807</v>
      </c>
      <c r="E9">
        <f t="shared" si="0"/>
        <v>16.119776807215583</v>
      </c>
    </row>
    <row r="10" spans="1:5" x14ac:dyDescent="0.45">
      <c r="A10">
        <v>8</v>
      </c>
      <c r="B10">
        <v>3</v>
      </c>
      <c r="C10">
        <v>81.059696666666653</v>
      </c>
      <c r="D10">
        <v>2.1852357531702005</v>
      </c>
      <c r="E10">
        <f t="shared" si="0"/>
        <v>1.26164645033561</v>
      </c>
    </row>
    <row r="11" spans="1:5" x14ac:dyDescent="0.45">
      <c r="A11">
        <v>9</v>
      </c>
      <c r="B11">
        <v>3</v>
      </c>
      <c r="C11">
        <v>76.70168666666666</v>
      </c>
      <c r="D11">
        <v>12.39835850409375</v>
      </c>
      <c r="E11">
        <f t="shared" si="0"/>
        <v>7.158195619848013</v>
      </c>
    </row>
    <row r="12" spans="1:5" x14ac:dyDescent="0.45">
      <c r="A12">
        <v>10</v>
      </c>
      <c r="B12">
        <v>3</v>
      </c>
      <c r="C12">
        <v>50.207723333333327</v>
      </c>
      <c r="D12">
        <v>8.9851114217150787</v>
      </c>
      <c r="E12">
        <f t="shared" si="0"/>
        <v>5.1875564980259821</v>
      </c>
    </row>
    <row r="13" spans="1:5" x14ac:dyDescent="0.45">
      <c r="A13">
        <v>11</v>
      </c>
      <c r="B13">
        <v>3</v>
      </c>
      <c r="C13">
        <v>43.452300000000001</v>
      </c>
      <c r="D13">
        <v>10.464901425092345</v>
      </c>
      <c r="E13">
        <f t="shared" si="0"/>
        <v>6.0419136548199637</v>
      </c>
    </row>
    <row r="14" spans="1:5" x14ac:dyDescent="0.45">
      <c r="A14">
        <v>12</v>
      </c>
      <c r="B14">
        <v>3</v>
      </c>
      <c r="C14">
        <v>28.455650000000002</v>
      </c>
      <c r="D14">
        <v>4.8026498303436451</v>
      </c>
      <c r="E14">
        <f t="shared" si="0"/>
        <v>2.772811172372414</v>
      </c>
    </row>
    <row r="25" spans="3:5" x14ac:dyDescent="0.45">
      <c r="C25" s="3"/>
      <c r="D25" s="3"/>
      <c r="E25" s="3"/>
    </row>
    <row r="26" spans="3:5" x14ac:dyDescent="0.45">
      <c r="C26" s="3"/>
      <c r="D26" s="3"/>
      <c r="E26" s="3"/>
    </row>
    <row r="27" spans="3:5" x14ac:dyDescent="0.45">
      <c r="C27" s="3"/>
      <c r="D27" s="3"/>
      <c r="E27" s="3"/>
    </row>
    <row r="28" spans="3:5" x14ac:dyDescent="0.45">
      <c r="C28" s="3"/>
      <c r="D28" s="3"/>
      <c r="E28" s="3"/>
    </row>
    <row r="29" spans="3:5" x14ac:dyDescent="0.45">
      <c r="C29" s="3"/>
      <c r="D29" s="3"/>
      <c r="E29" s="3"/>
    </row>
    <row r="30" spans="3:5" x14ac:dyDescent="0.45">
      <c r="C30" s="3"/>
      <c r="D30" s="3"/>
      <c r="E30" s="3"/>
    </row>
    <row r="31" spans="3:5" x14ac:dyDescent="0.45">
      <c r="C31" s="3"/>
      <c r="D31" s="3"/>
      <c r="E31" s="3"/>
    </row>
    <row r="32" spans="3:5" x14ac:dyDescent="0.45">
      <c r="C32" s="3"/>
      <c r="D32" s="3"/>
      <c r="E32" s="3"/>
    </row>
    <row r="33" spans="3:5" x14ac:dyDescent="0.45">
      <c r="C33" s="3"/>
      <c r="D33" s="3"/>
      <c r="E33" s="3"/>
    </row>
    <row r="34" spans="3:5" x14ac:dyDescent="0.45">
      <c r="C34" s="3"/>
      <c r="D34" s="3"/>
      <c r="E34" s="3"/>
    </row>
    <row r="35" spans="3:5" x14ac:dyDescent="0.45">
      <c r="C35" s="3"/>
      <c r="D35" s="3"/>
      <c r="E35" s="3"/>
    </row>
    <row r="36" spans="3:5" x14ac:dyDescent="0.45">
      <c r="C36" s="3"/>
      <c r="D36" s="3"/>
      <c r="E36" s="3"/>
    </row>
    <row r="37" spans="3:5" x14ac:dyDescent="0.45">
      <c r="C37" s="3"/>
      <c r="D37" s="3"/>
      <c r="E37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0FEB-D74A-48D2-96FC-803F2820E6F1}">
  <dimension ref="A1:E37"/>
  <sheetViews>
    <sheetView workbookViewId="0">
      <selection activeCell="J38" sqref="A23:J38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75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1222.2842333333333</v>
      </c>
      <c r="D3">
        <v>504.01119455242548</v>
      </c>
      <c r="E3">
        <f t="shared" ref="E3:E14" si="0">D3/SQRT(3)</f>
        <v>290.99099884942768</v>
      </c>
    </row>
    <row r="4" spans="1:5" x14ac:dyDescent="0.45">
      <c r="A4">
        <v>2</v>
      </c>
      <c r="B4">
        <v>3</v>
      </c>
      <c r="C4">
        <v>1726.6703333333335</v>
      </c>
      <c r="D4">
        <v>361.87816570820081</v>
      </c>
      <c r="E4">
        <f t="shared" si="0"/>
        <v>208.93045638547775</v>
      </c>
    </row>
    <row r="5" spans="1:5" x14ac:dyDescent="0.45">
      <c r="A5">
        <v>3</v>
      </c>
      <c r="B5">
        <v>3</v>
      </c>
      <c r="C5">
        <v>3290.4953333333337</v>
      </c>
      <c r="D5">
        <v>453.17160452342085</v>
      </c>
      <c r="E5">
        <f t="shared" si="0"/>
        <v>261.63874786069169</v>
      </c>
    </row>
    <row r="6" spans="1:5" x14ac:dyDescent="0.45">
      <c r="A6">
        <v>4</v>
      </c>
      <c r="B6">
        <v>3</v>
      </c>
      <c r="C6">
        <v>3497.1479999999997</v>
      </c>
      <c r="D6">
        <v>438.18360139558587</v>
      </c>
      <c r="E6">
        <f t="shared" si="0"/>
        <v>252.98542022022119</v>
      </c>
    </row>
    <row r="7" spans="1:5" x14ac:dyDescent="0.45">
      <c r="A7">
        <v>5</v>
      </c>
      <c r="B7">
        <v>3</v>
      </c>
      <c r="C7">
        <v>4007.253666666667</v>
      </c>
      <c r="D7">
        <v>233.85549168307631</v>
      </c>
      <c r="E7">
        <f t="shared" si="0"/>
        <v>135.01653107469642</v>
      </c>
    </row>
    <row r="8" spans="1:5" x14ac:dyDescent="0.45">
      <c r="A8">
        <v>6</v>
      </c>
      <c r="B8">
        <v>3</v>
      </c>
      <c r="C8">
        <v>4283.9070000000002</v>
      </c>
      <c r="D8">
        <v>100.02561535426807</v>
      </c>
      <c r="E8">
        <f t="shared" si="0"/>
        <v>57.749815950644638</v>
      </c>
    </row>
    <row r="9" spans="1:5" x14ac:dyDescent="0.45">
      <c r="A9">
        <v>7</v>
      </c>
      <c r="B9">
        <v>3</v>
      </c>
      <c r="C9">
        <v>4354.6239999999998</v>
      </c>
      <c r="D9">
        <v>38.416884217749718</v>
      </c>
      <c r="E9">
        <f t="shared" si="0"/>
        <v>22.179998444544488</v>
      </c>
    </row>
    <row r="10" spans="1:5" x14ac:dyDescent="0.45">
      <c r="A10">
        <v>8</v>
      </c>
      <c r="B10">
        <v>3</v>
      </c>
      <c r="C10">
        <v>4259.8779999999997</v>
      </c>
      <c r="D10">
        <v>121.39075286445838</v>
      </c>
      <c r="E10">
        <f t="shared" si="0"/>
        <v>70.084983843426386</v>
      </c>
    </row>
    <row r="11" spans="1:5" x14ac:dyDescent="0.45">
      <c r="A11">
        <v>9</v>
      </c>
      <c r="B11">
        <v>3</v>
      </c>
      <c r="C11">
        <v>4115.2403333333332</v>
      </c>
      <c r="D11">
        <v>232.59454265380646</v>
      </c>
      <c r="E11">
        <f t="shared" si="0"/>
        <v>134.28852181321307</v>
      </c>
    </row>
    <row r="12" spans="1:5" x14ac:dyDescent="0.45">
      <c r="A12">
        <v>10</v>
      </c>
      <c r="B12">
        <v>3</v>
      </c>
      <c r="C12">
        <v>4308.7823333333336</v>
      </c>
      <c r="D12">
        <v>70.331177797143013</v>
      </c>
      <c r="E12">
        <f t="shared" si="0"/>
        <v>40.605724433603953</v>
      </c>
    </row>
    <row r="13" spans="1:5" x14ac:dyDescent="0.45">
      <c r="A13">
        <v>11</v>
      </c>
      <c r="B13">
        <v>3</v>
      </c>
      <c r="C13">
        <v>4300.6373333333331</v>
      </c>
      <c r="D13">
        <v>133.74062907109914</v>
      </c>
      <c r="E13">
        <f t="shared" si="0"/>
        <v>77.215188195788983</v>
      </c>
    </row>
    <row r="14" spans="1:5" x14ac:dyDescent="0.45">
      <c r="A14">
        <v>12</v>
      </c>
      <c r="B14">
        <v>3</v>
      </c>
      <c r="C14">
        <v>3875.4923333333331</v>
      </c>
      <c r="D14">
        <v>173.82251393399338</v>
      </c>
      <c r="E14">
        <f t="shared" si="0"/>
        <v>100.35647521100856</v>
      </c>
    </row>
    <row r="25" spans="3:5" x14ac:dyDescent="0.45">
      <c r="C25" s="3"/>
      <c r="D25" s="3"/>
      <c r="E25" s="3"/>
    </row>
    <row r="26" spans="3:5" x14ac:dyDescent="0.45">
      <c r="C26" s="3"/>
      <c r="D26" s="3"/>
      <c r="E26" s="3"/>
    </row>
    <row r="27" spans="3:5" x14ac:dyDescent="0.45">
      <c r="C27" s="3"/>
      <c r="D27" s="3"/>
      <c r="E27" s="3"/>
    </row>
    <row r="28" spans="3:5" x14ac:dyDescent="0.45">
      <c r="C28" s="3"/>
      <c r="D28" s="3"/>
      <c r="E28" s="3"/>
    </row>
    <row r="29" spans="3:5" x14ac:dyDescent="0.45">
      <c r="C29" s="3"/>
      <c r="D29" s="3"/>
      <c r="E29" s="3"/>
    </row>
    <row r="30" spans="3:5" x14ac:dyDescent="0.45">
      <c r="C30" s="3"/>
      <c r="D30" s="3"/>
      <c r="E30" s="3"/>
    </row>
    <row r="31" spans="3:5" x14ac:dyDescent="0.45">
      <c r="C31" s="3"/>
      <c r="D31" s="3"/>
      <c r="E31" s="3"/>
    </row>
    <row r="32" spans="3:5" x14ac:dyDescent="0.45">
      <c r="C32" s="3"/>
      <c r="D32" s="3"/>
      <c r="E32" s="3"/>
    </row>
    <row r="33" spans="3:5" x14ac:dyDescent="0.45">
      <c r="C33" s="3"/>
      <c r="D33" s="3"/>
      <c r="E33" s="3"/>
    </row>
    <row r="34" spans="3:5" x14ac:dyDescent="0.45">
      <c r="C34" s="3"/>
      <c r="D34" s="3"/>
      <c r="E34" s="3"/>
    </row>
    <row r="35" spans="3:5" x14ac:dyDescent="0.45">
      <c r="C35" s="3"/>
      <c r="D35" s="3"/>
      <c r="E35" s="3"/>
    </row>
    <row r="36" spans="3:5" x14ac:dyDescent="0.45">
      <c r="C36" s="3"/>
      <c r="D36" s="3"/>
      <c r="E36" s="3"/>
    </row>
    <row r="37" spans="3:5" x14ac:dyDescent="0.45">
      <c r="C37" s="3"/>
      <c r="D37" s="3"/>
      <c r="E37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EDCF-E887-4463-B8C9-D2806FAD53CC}">
  <dimension ref="A1:E37"/>
  <sheetViews>
    <sheetView workbookViewId="0">
      <selection activeCell="N43" sqref="N43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3</v>
      </c>
      <c r="C2">
        <v>25</v>
      </c>
      <c r="D2">
        <v>0</v>
      </c>
      <c r="E2">
        <f>D2/SQRT(3)</f>
        <v>0</v>
      </c>
    </row>
    <row r="3" spans="1:5" x14ac:dyDescent="0.45">
      <c r="A3">
        <v>1</v>
      </c>
      <c r="B3">
        <v>3</v>
      </c>
      <c r="C3">
        <v>160.48364333333333</v>
      </c>
      <c r="D3">
        <v>86.725135662088391</v>
      </c>
      <c r="E3">
        <f t="shared" ref="E3:E14" si="0">D3/SQRT(3)</f>
        <v>50.070780420013548</v>
      </c>
    </row>
    <row r="4" spans="1:5" x14ac:dyDescent="0.45">
      <c r="A4">
        <v>2</v>
      </c>
      <c r="B4">
        <v>3</v>
      </c>
      <c r="C4">
        <v>176.10136666666665</v>
      </c>
      <c r="D4">
        <v>18.889880850427115</v>
      </c>
      <c r="E4">
        <f t="shared" si="0"/>
        <v>10.906077793954053</v>
      </c>
    </row>
    <row r="5" spans="1:5" x14ac:dyDescent="0.45">
      <c r="A5">
        <v>3</v>
      </c>
      <c r="B5">
        <v>3</v>
      </c>
      <c r="C5">
        <v>259.10996666666665</v>
      </c>
      <c r="D5">
        <v>15.163237107007642</v>
      </c>
      <c r="E5">
        <f t="shared" si="0"/>
        <v>8.754499025516985</v>
      </c>
    </row>
    <row r="6" spans="1:5" x14ac:dyDescent="0.45">
      <c r="A6">
        <v>4</v>
      </c>
      <c r="B6">
        <v>3</v>
      </c>
      <c r="C6">
        <v>197.31803333333332</v>
      </c>
      <c r="D6">
        <v>53.341249396816167</v>
      </c>
      <c r="E6">
        <f t="shared" si="0"/>
        <v>30.796584698162778</v>
      </c>
    </row>
    <row r="7" spans="1:5" x14ac:dyDescent="0.45">
      <c r="A7">
        <v>5</v>
      </c>
      <c r="B7">
        <v>3</v>
      </c>
      <c r="C7">
        <v>123.9901</v>
      </c>
      <c r="D7">
        <v>20.870751066743942</v>
      </c>
      <c r="E7">
        <f t="shared" si="0"/>
        <v>12.049733746574285</v>
      </c>
    </row>
    <row r="8" spans="1:5" x14ac:dyDescent="0.45">
      <c r="A8">
        <v>6</v>
      </c>
      <c r="B8">
        <v>3</v>
      </c>
      <c r="C8">
        <v>73.975853333333347</v>
      </c>
      <c r="D8">
        <v>9.3987090435140228</v>
      </c>
      <c r="E8">
        <f t="shared" si="0"/>
        <v>5.4263471963077912</v>
      </c>
    </row>
    <row r="9" spans="1:5" x14ac:dyDescent="0.45">
      <c r="A9">
        <v>7</v>
      </c>
      <c r="B9">
        <v>3</v>
      </c>
      <c r="C9">
        <v>59.372040000000005</v>
      </c>
      <c r="D9">
        <v>7.5784847700117055</v>
      </c>
      <c r="E9">
        <f t="shared" si="0"/>
        <v>4.3754402220157376</v>
      </c>
    </row>
    <row r="10" spans="1:5" x14ac:dyDescent="0.45">
      <c r="A10">
        <v>8</v>
      </c>
      <c r="B10">
        <v>3</v>
      </c>
      <c r="C10">
        <v>33.262650000000001</v>
      </c>
      <c r="D10">
        <v>13.310556644603558</v>
      </c>
      <c r="E10">
        <f t="shared" si="0"/>
        <v>7.684853461825627</v>
      </c>
    </row>
    <row r="11" spans="1:5" x14ac:dyDescent="0.45">
      <c r="A11">
        <v>9</v>
      </c>
      <c r="B11">
        <v>3</v>
      </c>
      <c r="C11">
        <v>26.387753333333333</v>
      </c>
      <c r="D11">
        <v>8.4990735629851759</v>
      </c>
      <c r="E11">
        <f t="shared" si="0"/>
        <v>4.9069424094519229</v>
      </c>
    </row>
    <row r="12" spans="1:5" x14ac:dyDescent="0.45">
      <c r="A12">
        <v>10</v>
      </c>
      <c r="B12">
        <v>3</v>
      </c>
      <c r="C12">
        <v>16.269606666666665</v>
      </c>
      <c r="D12">
        <v>4.0553448517029249</v>
      </c>
      <c r="E12">
        <f t="shared" si="0"/>
        <v>2.341354441787447</v>
      </c>
    </row>
    <row r="13" spans="1:5" x14ac:dyDescent="0.45">
      <c r="A13">
        <v>11</v>
      </c>
      <c r="B13">
        <v>3</v>
      </c>
      <c r="C13">
        <v>15.085693333333333</v>
      </c>
      <c r="D13">
        <v>8.4963985794354837</v>
      </c>
      <c r="E13">
        <f t="shared" si="0"/>
        <v>4.9053980069794312</v>
      </c>
    </row>
    <row r="14" spans="1:5" x14ac:dyDescent="0.45">
      <c r="A14">
        <v>12</v>
      </c>
      <c r="B14">
        <v>3</v>
      </c>
      <c r="C14">
        <v>6.1395879999999998</v>
      </c>
      <c r="D14">
        <v>4.9251671514359785</v>
      </c>
      <c r="E14">
        <f t="shared" si="0"/>
        <v>2.8435465806854645</v>
      </c>
    </row>
    <row r="25" spans="3:5" x14ac:dyDescent="0.45">
      <c r="C25" s="3"/>
      <c r="D25" s="3"/>
      <c r="E25" s="3"/>
    </row>
    <row r="26" spans="3:5" x14ac:dyDescent="0.45">
      <c r="C26" s="3"/>
      <c r="D26" s="3"/>
      <c r="E26" s="3"/>
    </row>
    <row r="27" spans="3:5" x14ac:dyDescent="0.45">
      <c r="C27" s="3"/>
      <c r="D27" s="3"/>
      <c r="E27" s="3"/>
    </row>
    <row r="28" spans="3:5" x14ac:dyDescent="0.45">
      <c r="C28" s="3"/>
      <c r="D28" s="3"/>
      <c r="E28" s="3"/>
    </row>
    <row r="29" spans="3:5" x14ac:dyDescent="0.45">
      <c r="C29" s="3"/>
      <c r="D29" s="3"/>
      <c r="E29" s="3"/>
    </row>
    <row r="30" spans="3:5" x14ac:dyDescent="0.45">
      <c r="C30" s="3"/>
      <c r="D30" s="3"/>
      <c r="E30" s="3"/>
    </row>
    <row r="31" spans="3:5" x14ac:dyDescent="0.45">
      <c r="C31" s="3"/>
      <c r="D31" s="3"/>
      <c r="E31" s="3"/>
    </row>
    <row r="32" spans="3:5" x14ac:dyDescent="0.45">
      <c r="C32" s="3"/>
      <c r="D32" s="3"/>
      <c r="E32" s="3"/>
    </row>
    <row r="33" spans="3:5" x14ac:dyDescent="0.45">
      <c r="C33" s="3"/>
      <c r="D33" s="3"/>
      <c r="E33" s="3"/>
    </row>
    <row r="34" spans="3:5" x14ac:dyDescent="0.45">
      <c r="C34" s="3"/>
      <c r="D34" s="3"/>
      <c r="E34" s="3"/>
    </row>
    <row r="35" spans="3:5" x14ac:dyDescent="0.45">
      <c r="C35" s="3"/>
      <c r="D35" s="3"/>
      <c r="E35" s="3"/>
    </row>
    <row r="36" spans="3:5" x14ac:dyDescent="0.45">
      <c r="C36" s="3"/>
      <c r="D36" s="3"/>
      <c r="E36" s="3"/>
    </row>
    <row r="37" spans="3:5" x14ac:dyDescent="0.45">
      <c r="C37" s="3"/>
      <c r="D37" s="3"/>
      <c r="E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1 - A2780 20k 1-3</vt:lpstr>
      <vt:lpstr>1 - A2780cis 20k 1-3</vt:lpstr>
      <vt:lpstr>1 - A2780 30k 1-3</vt:lpstr>
      <vt:lpstr>1 - A2780cis 30k 1-3</vt:lpstr>
      <vt:lpstr>1 - A2780 20k 1-1</vt:lpstr>
      <vt:lpstr>1 - A2780cis 20k 1-1</vt:lpstr>
      <vt:lpstr>1 - A2780 30k 1-1</vt:lpstr>
      <vt:lpstr>1 - A2780cis 30k 1-1</vt:lpstr>
      <vt:lpstr>1 - A2780 20k 3-1</vt:lpstr>
      <vt:lpstr>1 - A2780cis 20k 3-1</vt:lpstr>
      <vt:lpstr>1 - A2780 30k 3-1</vt:lpstr>
      <vt:lpstr>1 - A2780cis 30k 3-1</vt:lpstr>
      <vt:lpstr>1 - mono A2780 20k</vt:lpstr>
      <vt:lpstr>1 - mono A2780cis 20k</vt:lpstr>
      <vt:lpstr>1 - mono A2780 30k</vt:lpstr>
      <vt:lpstr>1 - mono A2780cis 30k</vt:lpstr>
      <vt:lpstr>2 - A2780 30k 1-3</vt:lpstr>
      <vt:lpstr>2 - A2780cis 30k 1-3</vt:lpstr>
      <vt:lpstr>2 - A2780 30k 1-1</vt:lpstr>
      <vt:lpstr>2 - A2780cis 30k 1-1</vt:lpstr>
      <vt:lpstr>2 - A2780 30k 3-1</vt:lpstr>
      <vt:lpstr>2 - A2780cis 30k 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Tse, Kiana</dc:creator>
  <cp:lastModifiedBy>Tse, Kiana</cp:lastModifiedBy>
  <dcterms:created xsi:type="dcterms:W3CDTF">2026-08-30T20:00:15Z</dcterms:created>
  <dcterms:modified xsi:type="dcterms:W3CDTF">2026-09-02T15:25:28Z</dcterms:modified>
</cp:coreProperties>
</file>